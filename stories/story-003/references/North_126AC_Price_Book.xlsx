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63d6a67b0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 Catalog" sheetId="1" r:id="R99131bc66aee480c"/>
    <x:sheet xmlns:r="http://schemas.openxmlformats.org/officeDocument/2006/relationships" name="Wages and Rations" sheetId="2" r:id="R29fd8b3b970c401e"/>
    <x:sheet xmlns:r="http://schemas.openxmlformats.org/officeDocument/2006/relationships" name="Military" sheetId="3" r:id="R464efdc1ff354742"/>
    <x:sheet xmlns:r="http://schemas.openxmlformats.org/officeDocument/2006/relationships" name="Ships" sheetId="4" r:id="Rf253ac7d5ed9423e"/>
    <x:sheet xmlns:r="http://schemas.openxmlformats.org/officeDocument/2006/relationships" name="Building Works" sheetId="5" r:id="R4618eaa54d574d78"/>
    <x:sheet xmlns:r="http://schemas.openxmlformats.org/officeDocument/2006/relationships" name="Trade Quote" sheetId="6" r:id="R7dd01f28222b4130"/>
    <x:sheet xmlns:r="http://schemas.openxmlformats.org/officeDocument/2006/relationships" name="Basis" sheetId="7" r:id="Rd653af071547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00"/>
    <x:numFmt numFmtId="201" formatCode="0.0000000000"/>
    <x:numFmt numFmtId="202" formatCode="#,##0.0000;(#,##0.0000);&quot;0.0000&quot;"/>
    <x:numFmt numFmtId="203" formatCode="#,##0.00;(#,##0.00);&quot;0.00&quot;"/>
    <x:numFmt numFmtId="204" formatCode="0.000000"/>
    <x:numFmt numFmtId="205" formatCode="0"/>
    <x:numFmt numFmtId="206" formatCode="0%"/>
    <x:numFmt numFmtId="207" formatCode="#,##0.00"/>
    <x:numFmt numFmtId="208" formatCode="#,##0"/>
    <x:numFmt numFmtId="209" formatCode="0.0%"/>
  </x:numFmts>
  <x:fonts count="11">
    <x:font>
      <x:sz val="11"/>
      <x:name val="Carlito"/>
    </x:font>
    <x:font>
      <x:sz val="10"/>
      <x:color rgb="FF263B42"/>
      <x:name val="Arial"/>
    </x:font>
    <x:font>
      <x:b/>
      <x:sz val="19"/>
      <x:color rgb="FF263B42"/>
      <x:name val="Arial"/>
    </x:font>
    <x:font>
      <x:sz val="10"/>
      <x:color rgb="FF60737B"/>
      <x:name val="Arial"/>
    </x:font>
    <x:font>
      <x:b/>
      <x:sz val="10"/>
      <x:color rgb="FFFFFFFF"/>
      <x:name val="Arial"/>
    </x:font>
    <x:font>
      <x:sz val="10"/>
      <x:color rgb="FF175EA6"/>
      <x:name val="Arial"/>
    </x:font>
    <x:font>
      <x:b/>
      <x:sz val="11"/>
      <x:color rgb="FF263B42"/>
      <x:name val="Arial"/>
    </x:font>
    <x:font>
      <x:b/>
      <x:sz val="10"/>
      <x:color rgb="FF263B42"/>
      <x:name val="Arial"/>
    </x:font>
    <x:font>
      <x:sz val="10"/>
      <x:color rgb="FFFFFFFF"/>
      <x:name val="Arial"/>
    </x:font>
    <x:font>
      <x:sz val="10"/>
      <x:color rgb="FF277454"/>
      <x:name val="Arial"/>
    </x:font>
    <x:font>
      <x:b/>
      <x:sz val="10"/>
      <x:color rgb="FF27745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2"/>
      </x:patternFill>
    </x:fill>
    <x:fill>
      <x:patternFill patternType="solid">
        <x:fgColor rgb="FFEDF2F2"/>
      </x:patternFill>
    </x:fill>
    <x:fill>
      <x:patternFill patternType="solid">
        <x:fgColor rgb="FFFA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/>
    </x:xf>
    <x:xf numFmtId="203" fontId="6" fillId="3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3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9" fontId="5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2" fontId="7" fillId="4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9" fontId="9" fillId="0" borderId="0" xfId="0" applyNumberFormat="1" applyFont="1" applyFill="1" applyBorder="1" applyAlignment="1">
      <x:alignment vertical="center"/>
    </x:xf>
    <x:xf numFmtId="202" fontId="10" fillId="4" borderId="0" xfId="0" applyNumberFormat="1" applyFont="1" applyFill="1" applyBorder="1" applyAlignment="1">
      <x:alignment vertical="center"/>
    </x:xf>
    <x:xf numFmtId="208" fontId="9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2" fontId="9" fillId="3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3" fontId="9" fillId="3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6" fontId="5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296d8e604446f" /><Relationship Type="http://schemas.openxmlformats.org/officeDocument/2006/relationships/theme" Target="/xl/theme/theme1.xml" Id="R17fe0fde4d4244a1" /><Relationship Type="http://schemas.openxmlformats.org/officeDocument/2006/relationships/sharedStrings" Target="/xl/sharedStrings.xml" Id="R3e844e2f8f9d4398" /><Relationship Type="http://schemas.openxmlformats.org/officeDocument/2006/relationships/worksheet" Target="/xl/worksheets/sheet1.xml" Id="R99131bc66aee480c" /><Relationship Type="http://schemas.openxmlformats.org/officeDocument/2006/relationships/worksheet" Target="/xl/worksheets/sheet2.xml" Id="R29fd8b3b970c401e" /><Relationship Type="http://schemas.openxmlformats.org/officeDocument/2006/relationships/worksheet" Target="/xl/worksheets/sheet3.xml" Id="R464efdc1ff354742" /><Relationship Type="http://schemas.openxmlformats.org/officeDocument/2006/relationships/worksheet" Target="/xl/worksheets/sheet4.xml" Id="Rf253ac7d5ed9423e" /><Relationship Type="http://schemas.openxmlformats.org/officeDocument/2006/relationships/worksheet" Target="/xl/worksheets/sheet5.xml" Id="R4618eaa54d574d78" /><Relationship Type="http://schemas.openxmlformats.org/officeDocument/2006/relationships/worksheet" Target="/xl/worksheets/sheet6.xml" Id="R7dd01f28222b4130" /><Relationship Type="http://schemas.openxmlformats.org/officeDocument/2006/relationships/worksheet" Target="/xl/worksheets/sheet7.xml" Id="Rd653af0715474b7f" /></Relationships>
</file>

<file path=xl/tables/table1.xml><?xml version="1.0" encoding="utf-8"?>
<x:table xmlns:x="http://schemas.openxmlformats.org/spreadsheetml/2006/main" id="1" name="CommercePrices" displayName="CommercePrices" ref="C6:L393" headerRowCount="1" totalsRowCount="0" totalsRowShown="0">
  <x:tableColumns count="10">
    <x:tableColumn id="1" name="Code"/>
    <x:tableColumn id="2" name="Category"/>
    <x:tableColumn id="3" name="Item or service"/>
    <x:tableColumn id="4" name="Unit"/>
    <x:tableColumn id="5" name="GD"/>
    <x:tableColumn id="6" name="SS"/>
    <x:tableColumn id="7" name="CP"/>
    <x:tableColumn id="8" name="Fiscal anchor"/>
    <x:tableColumn id="9" name="Price factor"/>
    <x:tableColumn id="10" name="Quality, scope and delive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dd7ebd663d4767" /></Relationships>
</file>

<file path=xl/worksheets/sheet1.xml><?xml version="1.0" encoding="utf-8"?>
<x:worksheet xmlns:x="http://schemas.openxmlformats.org/spreadsheetml/2006/main">
  <x:sheetPr>
    <x:tabColor rgb="FF263B42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2" hidden="0" customWidth="1"/>
    <x:col min="4" max="4" width="27" hidden="0" customWidth="1"/>
    <x:col min="5" max="5" width="34" hidden="0" customWidth="1"/>
    <x:col min="6" max="6" width="27" hidden="0" customWidth="1"/>
    <x:col min="7" max="7" width="14" hidden="0" customWidth="1"/>
    <x:col min="8" max="8" width="15" hidden="0" customWidth="1"/>
    <x:col min="9" max="9" width="17" hidden="0" customWidth="1"/>
    <x:col min="10" max="10" width="18" hidden="0" customWidth="1"/>
    <x:col min="11" max="11" width="15" hidden="0" customWidth="1"/>
    <x:col min="12" max="12" width="69" hidden="0" customWidth="1"/>
  </x:cols>
  <x:sheetData>
    <x:row r="1" ht="26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8" customHeight="1">
      <x:c r="C2" s="3" t="str">
        <x:v>Commerce price book, North, 126 AC</x:v>
      </x:c>
      <x:c r="D2" s="3"/>
      <x:c r="E2" s="3"/>
      <x:c r="F2" s="3"/>
      <x:c r="G2" s="3"/>
      <x:c r="H2" s="3"/>
      <x:c r="I2" s="3"/>
      <x:c r="J2" s="3"/>
      <x:c r="K2" s="2"/>
      <x:c r="L2" s="2"/>
    </x:row>
    <x:row r="3" ht="26" customHeight="1"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46" customHeight="1">
      <x:c r="C4" s="5" t="str">
        <x:v>387 priced entries. Current fiscal anchors retained. Gold dragons (GD), silver stags (SS), copper pennies (CP). Filter by category; blue factors are editable.</x:v>
      </x:c>
      <x:c r="D4" s="5"/>
      <x:c r="E4" s="5"/>
      <x:c r="F4" s="5"/>
      <x:c r="G4" s="5"/>
      <x:c r="H4" s="5"/>
      <x:c r="I4" s="5"/>
      <x:c r="J4" s="5"/>
      <x:c r="K4" s="2"/>
      <x:c r="L4" s="2"/>
    </x:row>
    <x:row r="5" ht="26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0" customHeight="1">
      <x:c r="C6" s="8" t="str">
        <x:v>Code</x:v>
      </x:c>
      <x:c r="D6" s="8" t="str">
        <x:v>Category</x:v>
      </x:c>
      <x:c r="E6" s="8" t="str">
        <x:v>Item or service</x:v>
      </x:c>
      <x:c r="F6" s="8" t="str">
        <x:v>Unit</x:v>
      </x:c>
      <x:c r="G6" s="8" t="str">
        <x:v>GD</x:v>
      </x:c>
      <x:c r="H6" s="8" t="str">
        <x:v>SS</x:v>
      </x:c>
      <x:c r="I6" s="8" t="str">
        <x:v>CP</x:v>
      </x:c>
      <x:c r="J6" s="8" t="str">
        <x:v>Fiscal anchor</x:v>
      </x:c>
      <x:c r="K6" s="8" t="str">
        <x:v>Price factor</x:v>
      </x:c>
      <x:c r="L6" s="8" t="str">
        <x:v>Quality, scope and delivery</x:v>
      </x:c>
    </x:row>
    <x:row r="7" ht="38" customHeight="1">
      <x:c r="C7" s="2" t="str">
        <x:v>rye</x:v>
      </x:c>
      <x:c r="D7" s="11" t="str">
        <x:v>Grain and milling</x:v>
      </x:c>
      <x:c r="E7" s="11" t="str">
        <x:v>Rye</x:v>
      </x:c>
      <x:c r="F7" s="11" t="str">
        <x:v>quarter (8 bushels)</x:v>
      </x:c>
      <x:c r="G7" s="51" t="n">
        <x:f>'Basis'!$F$65*K7</x:f>
        <x:v>0.06311207760259036</x:v>
      </x:c>
      <x:c r="H7" s="52" t="n">
        <x:f>G7*'Basis'!$D$7</x:f>
        <x:v>13.253536296543974</x:v>
      </x:c>
      <x:c r="I7" s="52" t="n">
        <x:f>H7*'Basis'!$D$8</x:f>
        <x:v>742.1980326064626</x:v>
      </x:c>
      <x:c r="J7" s="2" t="str">
        <x:v>rye</x:v>
      </x:c>
      <x:c r="K7" s="20" t="n">
        <x:v>1</x:v>
      </x:c>
      <x:c r="L7" s="11" t="str">
        <x:v>Bulk clean grain; sacks extra. Fiscal-model anchor.</x:v>
      </x:c>
    </x:row>
    <x:row r="8" ht="38" customHeight="1">
      <x:c r="C8" s="2" t="str">
        <x:v>rye_bushel</x:v>
      </x:c>
      <x:c r="D8" s="11" t="str">
        <x:v>Grain and milling</x:v>
      </x:c>
      <x:c r="E8" s="11" t="str">
        <x:v>Rye</x:v>
      </x:c>
      <x:c r="F8" s="11" t="str">
        <x:v>bushel</x:v>
      </x:c>
      <x:c r="G8" s="51" t="n">
        <x:f>'Basis'!$F$65*K8</x:f>
        <x:v>0.007889009700323794</x:v>
      </x:c>
      <x:c r="H8" s="52" t="n">
        <x:f>G8*'Basis'!$D$7</x:f>
        <x:v>1.6566920370679967</x:v>
      </x:c>
      <x:c r="I8" s="52" t="n">
        <x:f>H8*'Basis'!$D$8</x:f>
        <x:v>92.77475407580782</x:v>
      </x:c>
      <x:c r="J8" s="2" t="str">
        <x:v>rye</x:v>
      </x:c>
      <x:c r="K8" s="20" t="n">
        <x:v>0.125</x:v>
      </x:c>
      <x:c r="L8" s="11" t="str">
        <x:v>56 lb nominal dry weight; loose grain.</x:v>
      </x:c>
    </x:row>
    <x:row r="9" ht="38" customHeight="1">
      <x:c r="C9" s="2" t="str">
        <x:v>barley</x:v>
      </x:c>
      <x:c r="D9" s="11" t="str">
        <x:v>Grain and milling</x:v>
      </x:c>
      <x:c r="E9" s="11" t="str">
        <x:v>Barley</x:v>
      </x:c>
      <x:c r="F9" s="11" t="str">
        <x:v>quarter (8 bushels)</x:v>
      </x:c>
      <x:c r="G9" s="51" t="n">
        <x:f>'Basis'!$F$66*K9</x:f>
        <x:v>0.07212808868867471</x:v>
      </x:c>
      <x:c r="H9" s="52" t="n">
        <x:f>G9*'Basis'!$D$7</x:f>
        <x:v>15.146898624621688</x:v>
      </x:c>
      <x:c r="I9" s="52" t="n">
        <x:f>H9*'Basis'!$D$8</x:f>
        <x:v>848.2263229788146</x:v>
      </x:c>
      <x:c r="J9" s="2" t="str">
        <x:v>barley</x:v>
      </x:c>
      <x:c r="K9" s="20" t="n">
        <x:v>1</x:v>
      </x:c>
      <x:c r="L9" s="11" t="str">
        <x:v>Bulk clean grain; sacks extra. Fiscal-model anchor.</x:v>
      </x:c>
    </x:row>
    <x:row r="10" ht="38" customHeight="1">
      <x:c r="C10" s="2" t="str">
        <x:v>barley_bushel</x:v>
      </x:c>
      <x:c r="D10" s="11" t="str">
        <x:v>Grain and milling</x:v>
      </x:c>
      <x:c r="E10" s="11" t="str">
        <x:v>Barley</x:v>
      </x:c>
      <x:c r="F10" s="11" t="str">
        <x:v>bushel</x:v>
      </x:c>
      <x:c r="G10" s="51" t="n">
        <x:f>'Basis'!$F$66*K10</x:f>
        <x:v>0.009016011086084338</x:v>
      </x:c>
      <x:c r="H10" s="52" t="n">
        <x:f>G10*'Basis'!$D$7</x:f>
        <x:v>1.893362328077711</x:v>
      </x:c>
      <x:c r="I10" s="52" t="n">
        <x:f>H10*'Basis'!$D$8</x:f>
        <x:v>106.02829037235182</x:v>
      </x:c>
      <x:c r="J10" s="2" t="str">
        <x:v>barley</x:v>
      </x:c>
      <x:c r="K10" s="20" t="n">
        <x:v>0.125</x:v>
      </x:c>
      <x:c r="L10" s="11" t="str">
        <x:v>48 lb nominal dry weight; loose grain.</x:v>
      </x:c>
    </x:row>
    <x:row r="11" ht="38" customHeight="1">
      <x:c r="C11" s="2" t="str">
        <x:v>oats</x:v>
      </x:c>
      <x:c r="D11" s="11" t="str">
        <x:v>Grain and milling</x:v>
      </x:c>
      <x:c r="E11" s="11" t="str">
        <x:v>Oats</x:v>
      </x:c>
      <x:c r="F11" s="11" t="str">
        <x:v>quarter (8 bushels)</x:v>
      </x:c>
      <x:c r="G11" s="51" t="n">
        <x:f>'Basis'!$F$67*K11</x:f>
        <x:v>0.045080055430421685</x:v>
      </x:c>
      <x:c r="H11" s="52" t="n">
        <x:f>G11*'Basis'!$D$7</x:f>
        <x:v>9.466811640388554</x:v>
      </x:c>
      <x:c r="I11" s="52" t="n">
        <x:f>H11*'Basis'!$D$8</x:f>
        <x:v>530.141451861759</x:v>
      </x:c>
      <x:c r="J11" s="2" t="str">
        <x:v>oats</x:v>
      </x:c>
      <x:c r="K11" s="20" t="n">
        <x:v>1</x:v>
      </x:c>
      <x:c r="L11" s="11" t="str">
        <x:v>Bulk clean grain; sacks extra. Fiscal-model anchor.</x:v>
      </x:c>
    </x:row>
    <x:row r="12" ht="38" customHeight="1">
      <x:c r="C12" s="2" t="str">
        <x:v>oats_bushel</x:v>
      </x:c>
      <x:c r="D12" s="11" t="str">
        <x:v>Grain and milling</x:v>
      </x:c>
      <x:c r="E12" s="11" t="str">
        <x:v>Oats</x:v>
      </x:c>
      <x:c r="F12" s="11" t="str">
        <x:v>bushel</x:v>
      </x:c>
      <x:c r="G12" s="51" t="n">
        <x:f>'Basis'!$F$67*K12</x:f>
        <x:v>0.005635006928802711</x:v>
      </x:c>
      <x:c r="H12" s="52" t="n">
        <x:f>G12*'Basis'!$D$7</x:f>
        <x:v>1.1833514550485693</x:v>
      </x:c>
      <x:c r="I12" s="52" t="n">
        <x:f>H12*'Basis'!$D$8</x:f>
        <x:v>66.26768148271988</x:v>
      </x:c>
      <x:c r="J12" s="2" t="str">
        <x:v>oats</x:v>
      </x:c>
      <x:c r="K12" s="20" t="n">
        <x:v>0.125</x:v>
      </x:c>
      <x:c r="L12" s="11" t="str">
        <x:v>32 lb nominal dry weight; loose grain.</x:v>
      </x:c>
    </x:row>
    <x:row r="13" ht="38" customHeight="1">
      <x:c r="C13" s="2" t="str">
        <x:v>beans</x:v>
      </x:c>
      <x:c r="D13" s="11" t="str">
        <x:v>Grain and milling</x:v>
      </x:c>
      <x:c r="E13" s="11" t="str">
        <x:v>Peas and beans</x:v>
      </x:c>
      <x:c r="F13" s="11" t="str">
        <x:v>quarter (8 bushels)</x:v>
      </x:c>
      <x:c r="G13" s="51" t="n">
        <x:f>'Basis'!$F$68*K13</x:f>
        <x:v>0.09016011086084337</x:v>
      </x:c>
      <x:c r="H13" s="52" t="n">
        <x:f>G13*'Basis'!$D$7</x:f>
        <x:v>18.93362328077711</x:v>
      </x:c>
      <x:c r="I13" s="52" t="n">
        <x:f>H13*'Basis'!$D$8</x:f>
        <x:v>1060.282903723518</x:v>
      </x:c>
      <x:c r="J13" s="2" t="str">
        <x:v>beans</x:v>
      </x:c>
      <x:c r="K13" s="20" t="n">
        <x:v>1</x:v>
      </x:c>
      <x:c r="L13" s="11" t="str">
        <x:v>Bulk clean grain; sacks extra. Fiscal-model anchor.</x:v>
      </x:c>
    </x:row>
    <x:row r="14" ht="38" customHeight="1">
      <x:c r="C14" s="2" t="str">
        <x:v>beans_bushel</x:v>
      </x:c>
      <x:c r="D14" s="11" t="str">
        <x:v>Grain and milling</x:v>
      </x:c>
      <x:c r="E14" s="11" t="str">
        <x:v>Peas and beans</x:v>
      </x:c>
      <x:c r="F14" s="11" t="str">
        <x:v>bushel</x:v>
      </x:c>
      <x:c r="G14" s="51" t="n">
        <x:f>'Basis'!$F$68*K14</x:f>
        <x:v>0.011270013857605421</x:v>
      </x:c>
      <x:c r="H14" s="52" t="n">
        <x:f>G14*'Basis'!$D$7</x:f>
        <x:v>2.3667029100971386</x:v>
      </x:c>
      <x:c r="I14" s="52" t="n">
        <x:f>H14*'Basis'!$D$8</x:f>
        <x:v>132.53536296543976</x:v>
      </x:c>
      <x:c r="J14" s="2" t="str">
        <x:v>beans</x:v>
      </x:c>
      <x:c r="K14" s="20" t="n">
        <x:v>0.125</x:v>
      </x:c>
      <x:c r="L14" s="11" t="str">
        <x:v>60 lb nominal dry weight; loose grain.</x:v>
      </x:c>
    </x:row>
    <x:row r="15" ht="38" customHeight="1">
      <x:c r="C15" s="2" t="str">
        <x:v>wheat</x:v>
      </x:c>
      <x:c r="D15" s="11" t="str">
        <x:v>Grain and milling</x:v>
      </x:c>
      <x:c r="E15" s="11" t="str">
        <x:v>Wheat</x:v>
      </x:c>
      <x:c r="F15" s="11" t="str">
        <x:v>quarter (8 bushels)</x:v>
      </x:c>
      <x:c r="G15" s="51" t="n">
        <x:f>'Basis'!$F$69*K15</x:f>
        <x:v>0.10819213303301203</x:v>
      </x:c>
      <x:c r="H15" s="52" t="n">
        <x:f>G15*'Basis'!$D$7</x:f>
        <x:v>22.720347936932527</x:v>
      </x:c>
      <x:c r="I15" s="52" t="n">
        <x:f>H15*'Basis'!$D$8</x:f>
        <x:v>1272.3394844682216</x:v>
      </x:c>
      <x:c r="J15" s="2" t="str">
        <x:v>wheat</x:v>
      </x:c>
      <x:c r="K15" s="20" t="n">
        <x:v>1</x:v>
      </x:c>
      <x:c r="L15" s="11" t="str">
        <x:v>Bulk clean grain; sacks extra. Fiscal-model anchor.</x:v>
      </x:c>
    </x:row>
    <x:row r="16" ht="38" customHeight="1">
      <x:c r="C16" s="2" t="str">
        <x:v>wheat_bushel</x:v>
      </x:c>
      <x:c r="D16" s="11" t="str">
        <x:v>Grain and milling</x:v>
      </x:c>
      <x:c r="E16" s="11" t="str">
        <x:v>Wheat</x:v>
      </x:c>
      <x:c r="F16" s="11" t="str">
        <x:v>bushel</x:v>
      </x:c>
      <x:c r="G16" s="51" t="n">
        <x:f>'Basis'!$F$69*K16</x:f>
        <x:v>0.013524016629126504</x:v>
      </x:c>
      <x:c r="H16" s="52" t="n">
        <x:f>G16*'Basis'!$D$7</x:f>
        <x:v>2.840043492116566</x:v>
      </x:c>
      <x:c r="I16" s="52" t="n">
        <x:f>H16*'Basis'!$D$8</x:f>
        <x:v>159.0424355585277</x:v>
      </x:c>
      <x:c r="J16" s="2" t="str">
        <x:v>wheat</x:v>
      </x:c>
      <x:c r="K16" s="20" t="n">
        <x:v>0.125</x:v>
      </x:c>
      <x:c r="L16" s="11" t="str">
        <x:v>60 lb nominal dry weight; loose grain.</x:v>
      </x:c>
    </x:row>
    <x:row r="17" ht="38" customHeight="1">
      <x:c r="C17" s="2" t="str">
        <x:v>rye_flour</x:v>
      </x:c>
      <x:c r="D17" s="11" t="str">
        <x:v>Grain and milling</x:v>
      </x:c>
      <x:c r="E17" s="11" t="str">
        <x:v>Rye flour</x:v>
      </x:c>
      <x:c r="F17" s="11" t="str">
        <x:v>stone (14 lb)</x:v>
      </x:c>
      <x:c r="G17" s="51" t="n">
        <x:f>'Basis'!$F$65*K17</x:f>
        <x:v>0.0027843563648201628</x:v>
      </x:c>
      <x:c r="H17" s="52" t="n">
        <x:f>G17*'Basis'!$D$7</x:f>
        <x:v>0.5847148366122342</x:v>
      </x:c>
      <x:c r="I17" s="52" t="n">
        <x:f>H17*'Basis'!$D$8</x:f>
        <x:v>32.744030850285114</x:v>
      </x:c>
      <x:c r="J17" s="2" t="str">
        <x:v>rye</x:v>
      </x:c>
      <x:c r="K17" s="20" t="n">
        <x:v>0.04411764705882353</x:v>
      </x:c>
      <x:c r="L17" s="11" t="str">
        <x:v>85% flour yield; milling premium included.</x:v>
      </x:c>
    </x:row>
    <x:row r="18" ht="38" customHeight="1">
      <x:c r="C18" s="2" t="str">
        <x:v>wheat_flour</x:v>
      </x:c>
      <x:c r="D18" s="11" t="str">
        <x:v>Grain and milling</x:v>
      </x:c>
      <x:c r="E18" s="11" t="str">
        <x:v>Wheat flour</x:v>
      </x:c>
      <x:c r="F18" s="11" t="str">
        <x:v>stone (14 lb)</x:v>
      </x:c>
      <x:c r="G18" s="51" t="n">
        <x:f>'Basis'!$F$69*K18</x:f>
        <x:v>0.0049356881202025785</x:v>
      </x:c>
      <x:c r="H18" s="52" t="n">
        <x:f>G18*'Basis'!$D$7</x:f>
        <x:v>1.0364945052425414</x:v>
      </x:c>
      <x:c r="I18" s="52" t="n">
        <x:f>H18*'Basis'!$D$8</x:f>
        <x:v>58.04369229358232</x:v>
      </x:c>
      <x:c r="J18" s="2" t="str">
        <x:v>wheat</x:v>
      </x:c>
      <x:c r="K18" s="20" t="n">
        <x:v>0.04561965811965812</x:v>
      </x:c>
      <x:c r="L18" s="11" t="str">
        <x:v>78% flour yield; milling premium included.</x:v>
      </x:c>
    </x:row>
    <x:row r="19" ht="38" customHeight="1">
      <x:c r="C19" s="2" t="str">
        <x:v>oatmeal</x:v>
      </x:c>
      <x:c r="D19" s="11" t="str">
        <x:v>Grain and milling</x:v>
      </x:c>
      <x:c r="E19" s="11" t="str">
        <x:v>Oatmeal</x:v>
      </x:c>
      <x:c r="F19" s="11" t="str">
        <x:v>stone (14 lb)</x:v>
      </x:c>
      <x:c r="G19" s="51" t="n">
        <x:f>'Basis'!$F$67*K19</x:f>
        <x:v>0.004740991406444588</x:v>
      </x:c>
      <x:c r="H19" s="52" t="n">
        <x:f>G19*'Basis'!$D$7</x:f>
        <x:v>0.9956081953533635</x:v>
      </x:c>
      <x:c r="I19" s="52" t="n">
        <x:f>H19*'Basis'!$D$8</x:f>
        <x:v>55.75405893978836</x:v>
      </x:c>
      <x:c r="J19" s="2" t="str">
        <x:v>oats</x:v>
      </x:c>
      <x:c r="K19" s="20" t="n">
        <x:v>0.10516826923076922</x:v>
      </x:c>
      <x:c r="L19" s="11" t="str">
        <x:v>65% groat yield; milling premium included.</x:v>
      </x:c>
    </x:row>
    <x:row r="20" ht="38" customHeight="1">
      <x:c r="C20" s="2" t="str">
        <x:v>malt</x:v>
      </x:c>
      <x:c r="D20" s="11" t="str">
        <x:v>Grain and milling</x:v>
      </x:c>
      <x:c r="E20" s="11" t="str">
        <x:v>Barley malt</x:v>
      </x:c>
      <x:c r="F20" s="11" t="str">
        <x:v>stone (14 lb)</x:v>
      </x:c>
      <x:c r="G20" s="51" t="n">
        <x:f>'Basis'!$F$66*K20</x:f>
        <x:v>0.0047662766939456265</x:v>
      </x:c>
      <x:c r="H20" s="52" t="n">
        <x:f>G20*'Basis'!$D$7</x:f>
        <x:v>1.0009181057285816</x:v>
      </x:c>
      <x:c r="I20" s="52" t="n">
        <x:f>H20*'Basis'!$D$8</x:f>
        <x:v>56.05141392080057</x:v>
      </x:c>
      <x:c r="J20" s="2" t="str">
        <x:v>barley</x:v>
      </x:c>
      <x:c r="K20" s="20" t="n">
        <x:v>0.06608072916666666</x:v>
      </x:c>
      <x:c r="L20" s="11" t="str">
        <x:v>Dried brewing malt, ready to mash.</x:v>
      </x:c>
    </x:row>
    <x:row r="21" ht="38" customHeight="1">
      <x:c r="C21" s="2" t="str">
        <x:v>bran</x:v>
      </x:c>
      <x:c r="D21" s="11" t="str">
        <x:v>Grain and milling</x:v>
      </x:c>
      <x:c r="E21" s="11" t="str">
        <x:v>Bran</x:v>
      </x:c>
      <x:c r="F21" s="11" t="str">
        <x:v>stone (14 lb)</x:v>
      </x:c>
      <x:c r="G21" s="51" t="n">
        <x:f>'Basis'!$F$69*K21</x:f>
        <x:v>0.0011044613580453312</x:v>
      </x:c>
      <x:c r="H21" s="52" t="n">
        <x:f>G21*'Basis'!$D$7</x:f>
        <x:v>0.23193688518951955</x:v>
      </x:c>
      <x:c r="I21" s="52" t="n">
        <x:f>H21*'Basis'!$D$8</x:f>
        <x:v>12.988465570613094</x:v>
      </x:c>
      <x:c r="J21" s="2" t="str">
        <x:v>wheat</x:v>
      </x:c>
      <x:c r="K21" s="20" t="n">
        <x:v>0.010208333333333333</x:v>
      </x:c>
      <x:c r="L21" s="11" t="str">
        <x:v>Milling by-product, ordinary animal feed.</x:v>
      </x:c>
    </x:row>
    <x:row r="22" ht="38" customHeight="1">
      <x:c r="C22" s="2" t="str">
        <x:v>rye_bread</x:v>
      </x:c>
      <x:c r="D22" s="11" t="str">
        <x:v>Grain and milling</x:v>
      </x:c>
      <x:c r="E22" s="11" t="str">
        <x:v>Rye loaf</x:v>
      </x:c>
      <x:c r="F22" s="11" t="str">
        <x:v>2 lb loaf</x:v>
      </x:c>
      <x:c r="G22" s="51" t="n">
        <x:f>'Basis'!$F$65*K22</x:f>
        <x:v>0.00046140762617019837</x:v>
      </x:c>
      <x:c r="H22" s="52" t="n">
        <x:f>G22*'Basis'!$D$7</x:f>
        <x:v>0.09689560149574165</x:v>
      </x:c>
      <x:c r="I22" s="52" t="n">
        <x:f>H22*'Basis'!$D$8</x:f>
        <x:v>5.426153683761533</x:v>
      </x:c>
      <x:c r="J22" s="2" t="str">
        <x:v>rye</x:v>
      </x:c>
      <x:c r="K22" s="20" t="n">
        <x:v>0.007310924369747899</x:v>
      </x:c>
      <x:c r="L22" s="11" t="str">
        <x:v>Baked market price; about 1.45 lb flour per loaf.</x:v>
      </x:c>
    </x:row>
    <x:row r="23" ht="38" customHeight="1">
      <x:c r="C23" s="2" t="str">
        <x:v>white_bread</x:v>
      </x:c>
      <x:c r="D23" s="11" t="str">
        <x:v>Grain and milling</x:v>
      </x:c>
      <x:c r="E23" s="11" t="str">
        <x:v>White wheat loaf</x:v>
      </x:c>
      <x:c r="F23" s="11" t="str">
        <x:v>2 lb loaf</x:v>
      </x:c>
      <x:c r="G23" s="51" t="n">
        <x:f>'Basis'!$F$69*K23</x:f>
        <x:v>0.0009201532852663378</x:v>
      </x:c>
      <x:c r="H23" s="52" t="n">
        <x:f>G23*'Basis'!$D$7</x:f>
        <x:v>0.19323218990593094</x:v>
      </x:c>
      <x:c r="I23" s="52" t="n">
        <x:f>H23*'Basis'!$D$8</x:f>
        <x:v>10.821002634732132</x:v>
      </x:c>
      <x:c r="J23" s="2" t="str">
        <x:v>wheat</x:v>
      </x:c>
      <x:c r="K23" s="20" t="n">
        <x:v>0.008504807692307692</x:v>
      </x:c>
      <x:c r="L23" s="11" t="str">
        <x:v>Baked market price; fine flour.</x:v>
      </x:c>
    </x:row>
    <x:row r="24" ht="38" customHeight="1">
      <x:c r="C24" s="2" t="str">
        <x:v>oatcake</x:v>
      </x:c>
      <x:c r="D24" s="11" t="str">
        <x:v>Grain and milling</x:v>
      </x:c>
      <x:c r="E24" s="11" t="str">
        <x:v>Oatcakes</x:v>
      </x:c>
      <x:c r="F24" s="11" t="str">
        <x:v>1 lb baked</x:v>
      </x:c>
      <x:c r="G24" s="51" t="n">
        <x:f>'Basis'!$F$67*K24</x:f>
        <x:v>0.00046055345091176</x:v>
      </x:c>
      <x:c r="H24" s="52" t="n">
        <x:f>G24*'Basis'!$D$7</x:f>
        <x:v>0.09671622469146961</x:v>
      </x:c>
      <x:c r="I24" s="52" t="n">
        <x:f>H24*'Basis'!$D$8</x:f>
        <x:v>5.416108582722298</x:v>
      </x:c>
      <x:c r="J24" s="2" t="str">
        <x:v>oats</x:v>
      </x:c>
      <x:c r="K24" s="20" t="n">
        <x:v>0.010216346153846154</x:v>
      </x:c>
      <x:c r="L24" s="11" t="str">
        <x:v>Plain; fat, fuel and baking included.</x:v>
      </x:c>
    </x:row>
    <x:row r="25" ht="38" customHeight="1">
      <x:c r="C25" s="2" t="str">
        <x:v>ship_biscuit</x:v>
      </x:c>
      <x:c r="D25" s="11" t="str">
        <x:v>Grain and milling</x:v>
      </x:c>
      <x:c r="E25" s="11" t="str">
        <x:v>Ship biscuit</x:v>
      </x:c>
      <x:c r="F25" s="11" t="str">
        <x:v>stone (14 lb)</x:v>
      </x:c>
      <x:c r="G25" s="51" t="n">
        <x:f>'Basis'!$F$69*K25</x:f>
        <x:v>0.008884238616364643</x:v>
      </x:c>
      <x:c r="H25" s="52" t="n">
        <x:f>G25*'Basis'!$D$7</x:f>
        <x:v>1.865690109436575</x:v>
      </x:c>
      <x:c r="I25" s="52" t="n">
        <x:f>H25*'Basis'!$D$8</x:f>
        <x:v>104.4786461284482</x:v>
      </x:c>
      <x:c r="J25" s="2" t="str">
        <x:v>wheat</x:v>
      </x:c>
      <x:c r="K25" s="20" t="n">
        <x:v>0.08211538461538462</x:v>
      </x:c>
      <x:c r="L25" s="11" t="str">
        <x:v>Dry hard biscuit, bulk provision contract.</x:v>
      </x:c>
    </x:row>
    <x:row r="26" ht="38" customHeight="1">
      <x:c r="C26" s="2" t="str">
        <x:v>flour_milling</x:v>
      </x:c>
      <x:c r="D26" s="11" t="str">
        <x:v>Grain and milling</x:v>
      </x:c>
      <x:c r="E26" s="11" t="str">
        <x:v>Grain milling service</x:v>
      </x:c>
      <x:c r="F26" s="11" t="str">
        <x:v>quarter input</x:v>
      </x:c>
      <x:c r="G26" s="51" t="n">
        <x:f>'Basis'!$F$65*K26</x:f>
        <x:v>0.012622415520518071</x:v>
      </x:c>
      <x:c r="H26" s="52" t="n">
        <x:f>G26*'Basis'!$D$7</x:f>
        <x:v>2.650707259308795</x:v>
      </x:c>
      <x:c r="I26" s="52" t="n">
        <x:f>H26*'Basis'!$D$8</x:f>
        <x:v>148.43960652129252</x:v>
      </x:c>
      <x:c r="J26" s="2" t="str">
        <x:v>rye</x:v>
      </x:c>
      <x:c r="K26" s="20" t="n">
        <x:v>0.2</x:v>
      </x:c>
      <x:c r="L26" s="11" t="str">
        <x:v>Cash fee only; customer owns grain and bran.</x:v>
      </x:c>
    </x:row>
    <x:row r="27" ht="38" customHeight="1">
      <x:c r="C27" s="2" t="str">
        <x:v>turnip</x:v>
      </x:c>
      <x:c r="D27" s="11" t="str">
        <x:v>Garden and orchard</x:v>
      </x:c>
      <x:c r="E27" s="11" t="str">
        <x:v>Turnips</x:v>
      </x:c>
      <x:c r="F27" s="11" t="str">
        <x:v>stone (14 lb)</x:v>
      </x:c>
      <x:c r="G27" s="51" t="n">
        <x:f>'Basis'!$F$65*K27</x:f>
        <x:v>0.006942328536284939</x:v>
      </x:c>
      <x:c r="H27" s="52" t="n">
        <x:f>G27*'Basis'!$D$7</x:f>
        <x:v>1.4578889926198373</x:v>
      </x:c>
      <x:c r="I27" s="52" t="n">
        <x:f>H27*'Basis'!$D$8</x:f>
        <x:v>81.64178358671089</x:v>
      </x:c>
      <x:c r="J27" s="2" t="str">
        <x:v>rye</x:v>
      </x:c>
      <x:c r="K27" s="20" t="n">
        <x:v>0.11</x:v>
      </x:c>
      <x:c r="L27" s="11" t="str">
        <x:v>Sound seasonal roots.</x:v>
      </x:c>
    </x:row>
    <x:row r="28" ht="38" customHeight="1">
      <x:c r="C28" s="2" t="str">
        <x:v>cabbage</x:v>
      </x:c>
      <x:c r="D28" s="11" t="str">
        <x:v>Garden and orchard</x:v>
      </x:c>
      <x:c r="E28" s="11" t="str">
        <x:v>Cabbages</x:v>
      </x:c>
      <x:c r="F28" s="11" t="str">
        <x:v>stone (14 lb)</x:v>
      </x:c>
      <x:c r="G28" s="51" t="n">
        <x:f>'Basis'!$F$65*K28</x:f>
        <x:v>0.008204570088336747</x:v>
      </x:c>
      <x:c r="H28" s="52" t="n">
        <x:f>G28*'Basis'!$D$7</x:f>
        <x:v>1.7229597185507168</x:v>
      </x:c>
      <x:c r="I28" s="52" t="n">
        <x:f>H28*'Basis'!$D$8</x:f>
        <x:v>96.48574423884014</x:v>
      </x:c>
      <x:c r="J28" s="2" t="str">
        <x:v>rye</x:v>
      </x:c>
      <x:c r="K28" s="20" t="n">
        <x:v>0.13</x:v>
      </x:c>
      <x:c r="L28" s="11" t="str">
        <x:v>Fresh heads, seasonal.</x:v>
      </x:c>
    </x:row>
    <x:row r="29" ht="38" customHeight="1">
      <x:c r="C29" s="2" t="str">
        <x:v>onion</x:v>
      </x:c>
      <x:c r="D29" s="11" t="str">
        <x:v>Garden and orchard</x:v>
      </x:c>
      <x:c r="E29" s="11" t="str">
        <x:v>Onions</x:v>
      </x:c>
      <x:c r="F29" s="11" t="str">
        <x:v>stone (14 lb)</x:v>
      </x:c>
      <x:c r="G29" s="51" t="n">
        <x:f>'Basis'!$F$65*K29</x:f>
        <x:v>0.017671381728725302</x:v>
      </x:c>
      <x:c r="H29" s="52" t="n">
        <x:f>G29*'Basis'!$D$7</x:f>
        <x:v>3.7109901630323137</x:v>
      </x:c>
      <x:c r="I29" s="52" t="n">
        <x:f>H29*'Basis'!$D$8</x:f>
        <x:v>207.81544912980956</x:v>
      </x:c>
      <x:c r="J29" s="2" t="str">
        <x:v>rye</x:v>
      </x:c>
      <x:c r="K29" s="20" t="n">
        <x:v>0.28</x:v>
      </x:c>
      <x:c r="L29" s="11" t="str">
        <x:v>Dry keeping onions.</x:v>
      </x:c>
    </x:row>
    <x:row r="30" ht="38" customHeight="1">
      <x:c r="C30" s="2" t="str">
        <x:v>carrot</x:v>
      </x:c>
      <x:c r="D30" s="11" t="str">
        <x:v>Garden and orchard</x:v>
      </x:c>
      <x:c r="E30" s="11" t="str">
        <x:v>Carrots</x:v>
      </x:c>
      <x:c r="F30" s="11" t="str">
        <x:v>stone (14 lb)</x:v>
      </x:c>
      <x:c r="G30" s="51" t="n">
        <x:f>'Basis'!$F$65*K30</x:f>
        <x:v>0.010097932416414457</x:v>
      </x:c>
      <x:c r="H30" s="52" t="n">
        <x:f>G30*'Basis'!$D$7</x:f>
        <x:v>2.120565807447036</x:v>
      </x:c>
      <x:c r="I30" s="52" t="n">
        <x:f>H30*'Basis'!$D$8</x:f>
        <x:v>118.75168521703401</x:v>
      </x:c>
      <x:c r="J30" s="2" t="str">
        <x:v>rye</x:v>
      </x:c>
      <x:c r="K30" s="20" t="n">
        <x:v>0.16</x:v>
      </x:c>
      <x:c r="L30" s="11" t="str">
        <x:v>Fresh roots.</x:v>
      </x:c>
    </x:row>
    <x:row r="31" ht="38" customHeight="1">
      <x:c r="C31" s="2" t="str">
        <x:v>leek</x:v>
      </x:c>
      <x:c r="D31" s="11" t="str">
        <x:v>Garden and orchard</x:v>
      </x:c>
      <x:c r="E31" s="11" t="str">
        <x:v>Leeks</x:v>
      </x:c>
      <x:c r="F31" s="11" t="str">
        <x:v>stone (14 lb)</x:v>
      </x:c>
      <x:c r="G31" s="51" t="n">
        <x:f>'Basis'!$F$65*K31</x:f>
        <x:v>0.015146898624621685</x:v>
      </x:c>
      <x:c r="H31" s="52" t="n">
        <x:f>G31*'Basis'!$D$7</x:f>
        <x:v>3.1808487111705537</x:v>
      </x:c>
      <x:c r="I31" s="52" t="n">
        <x:f>H31*'Basis'!$D$8</x:f>
        <x:v>178.127527825551</x:v>
      </x:c>
      <x:c r="J31" s="2" t="str">
        <x:v>rye</x:v>
      </x:c>
      <x:c r="K31" s="20" t="n">
        <x:v>0.24</x:v>
      </x:c>
      <x:c r="L31" s="11" t="str">
        <x:v>Trimmed market produce.</x:v>
      </x:c>
    </x:row>
    <x:row r="32" ht="38" customHeight="1">
      <x:c r="C32" s="2" t="str">
        <x:v>garlic</x:v>
      </x:c>
      <x:c r="D32" s="11" t="str">
        <x:v>Garden and orchard</x:v>
      </x:c>
      <x:c r="E32" s="11" t="str">
        <x:v>Garlic</x:v>
      </x:c>
      <x:c r="F32" s="11" t="str">
        <x:v>lb</x:v>
      </x:c>
      <x:c r="G32" s="51" t="n">
        <x:f>'Basis'!$F$65*K32</x:f>
        <x:v>0.0063112077602590355</x:v>
      </x:c>
      <x:c r="H32" s="52" t="n">
        <x:f>G32*'Basis'!$D$7</x:f>
        <x:v>1.3253536296543975</x:v>
      </x:c>
      <x:c r="I32" s="52" t="n">
        <x:f>H32*'Basis'!$D$8</x:f>
        <x:v>74.21980326064626</x:v>
      </x:c>
      <x:c r="J32" s="2" t="str">
        <x:v>rye</x:v>
      </x:c>
      <x:c r="K32" s="20" t="n">
        <x:v>0.1</x:v>
      </x:c>
      <x:c r="L32" s="11" t="str">
        <x:v>Dried bulbs.</x:v>
      </x:c>
    </x:row>
    <x:row r="33" ht="38" customHeight="1">
      <x:c r="C33" s="2" t="str">
        <x:v>apple</x:v>
      </x:c>
      <x:c r="D33" s="11" t="str">
        <x:v>Garden and orchard</x:v>
      </x:c>
      <x:c r="E33" s="11" t="str">
        <x:v>Apples</x:v>
      </x:c>
      <x:c r="F33" s="11" t="str">
        <x:v>stone (14 lb)</x:v>
      </x:c>
      <x:c r="G33" s="51" t="n">
        <x:f>'Basis'!$F$65*K33</x:f>
        <x:v>0.018933623280777107</x:v>
      </x:c>
      <x:c r="H33" s="52" t="n">
        <x:f>G33*'Basis'!$D$7</x:f>
        <x:v>3.9760608889631923</x:v>
      </x:c>
      <x:c r="I33" s="52" t="n">
        <x:f>H33*'Basis'!$D$8</x:f>
        <x:v>222.65940978193876</x:v>
      </x:c>
      <x:c r="J33" s="2" t="str">
        <x:v>rye</x:v>
      </x:c>
      <x:c r="K33" s="20" t="n">
        <x:v>0.3</x:v>
      </x:c>
      <x:c r="L33" s="11" t="str">
        <x:v>Local keeping apples, autumn.</x:v>
      </x:c>
    </x:row>
    <x:row r="34" ht="38" customHeight="1">
      <x:c r="C34" s="2" t="str">
        <x:v>pear</x:v>
      </x:c>
      <x:c r="D34" s="11" t="str">
        <x:v>Garden and orchard</x:v>
      </x:c>
      <x:c r="E34" s="11" t="str">
        <x:v>Pears</x:v>
      </x:c>
      <x:c r="F34" s="11" t="str">
        <x:v>stone (14 lb)</x:v>
      </x:c>
      <x:c r="G34" s="51" t="n">
        <x:f>'Basis'!$F$65*K34</x:f>
        <x:v>0.025244831041036142</x:v>
      </x:c>
      <x:c r="H34" s="52" t="n">
        <x:f>G34*'Basis'!$D$7</x:f>
        <x:v>5.30141451861759</x:v>
      </x:c>
      <x:c r="I34" s="52" t="n">
        <x:f>H34*'Basis'!$D$8</x:f>
        <x:v>296.87921304258504</x:v>
      </x:c>
      <x:c r="J34" s="2" t="str">
        <x:v>rye</x:v>
      </x:c>
      <x:c r="K34" s="20" t="n">
        <x:v>0.4</x:v>
      </x:c>
      <x:c r="L34" s="11" t="str">
        <x:v>Seasonal sound fruit.</x:v>
      </x:c>
    </x:row>
    <x:row r="35" ht="38" customHeight="1">
      <x:c r="C35" s="2" t="str">
        <x:v>plum</x:v>
      </x:c>
      <x:c r="D35" s="11" t="str">
        <x:v>Garden and orchard</x:v>
      </x:c>
      <x:c r="E35" s="11" t="str">
        <x:v>Plums</x:v>
      </x:c>
      <x:c r="F35" s="11" t="str">
        <x:v>stone (14 lb)</x:v>
      </x:c>
      <x:c r="G35" s="51" t="n">
        <x:f>'Basis'!$F$65*K35</x:f>
        <x:v>0.02650707259308795</x:v>
      </x:c>
      <x:c r="H35" s="52" t="n">
        <x:f>G35*'Basis'!$D$7</x:f>
        <x:v>5.56648524454847</x:v>
      </x:c>
      <x:c r="I35" s="52" t="n">
        <x:f>H35*'Basis'!$D$8</x:f>
        <x:v>311.7231736947143</x:v>
      </x:c>
      <x:c r="J35" s="2" t="str">
        <x:v>rye</x:v>
      </x:c>
      <x:c r="K35" s="20" t="n">
        <x:v>0.42</x:v>
      </x:c>
      <x:c r="L35" s="11" t="str">
        <x:v>Fresh; short storage life.</x:v>
      </x:c>
    </x:row>
    <x:row r="36" ht="38" customHeight="1">
      <x:c r="C36" s="2" t="str">
        <x:v>berry</x:v>
      </x:c>
      <x:c r="D36" s="11" t="str">
        <x:v>Garden and orchard</x:v>
      </x:c>
      <x:c r="E36" s="11" t="str">
        <x:v>Berries</x:v>
      </x:c>
      <x:c r="F36" s="11" t="str">
        <x:v>lb</x:v>
      </x:c>
      <x:c r="G36" s="51" t="n">
        <x:f>'Basis'!$F$65*K36</x:f>
        <x:v>0.005048966208207229</x:v>
      </x:c>
      <x:c r="H36" s="52" t="n">
        <x:f>G36*'Basis'!$D$7</x:f>
        <x:v>1.060282903723518</x:v>
      </x:c>
      <x:c r="I36" s="52" t="n">
        <x:f>H36*'Basis'!$D$8</x:f>
        <x:v>59.375842608517004</x:v>
      </x:c>
      <x:c r="J36" s="2" t="str">
        <x:v>rye</x:v>
      </x:c>
      <x:c r="K36" s="20" t="n">
        <x:v>0.08</x:v>
      </x:c>
      <x:c r="L36" s="11" t="str">
        <x:v>Seasonal gathered fruit.</x:v>
      </x:c>
    </x:row>
    <x:row r="37" ht="38" customHeight="1">
      <x:c r="C37" s="2" t="str">
        <x:v>nut</x:v>
      </x:c>
      <x:c r="D37" s="11" t="str">
        <x:v>Garden and orchard</x:v>
      </x:c>
      <x:c r="E37" s="11" t="str">
        <x:v>Hazelnuts</x:v>
      </x:c>
      <x:c r="F37" s="11" t="str">
        <x:v>lb</x:v>
      </x:c>
      <x:c r="G37" s="51" t="n">
        <x:f>'Basis'!$F$65*K37</x:f>
        <x:v>0.0075734493123108424</x:v>
      </x:c>
      <x:c r="H37" s="52" t="n">
        <x:f>G37*'Basis'!$D$7</x:f>
        <x:v>1.5904243555852768</x:v>
      </x:c>
      <x:c r="I37" s="52" t="n">
        <x:f>H37*'Basis'!$D$8</x:f>
        <x:v>89.0637639127755</x:v>
      </x:c>
      <x:c r="J37" s="2" t="str">
        <x:v>rye</x:v>
      </x:c>
      <x:c r="K37" s="20" t="n">
        <x:v>0.12</x:v>
      </x:c>
      <x:c r="L37" s="11" t="str">
        <x:v>Shelled and dry.</x:v>
      </x:c>
    </x:row>
    <x:row r="38" ht="38" customHeight="1">
      <x:c r="C38" s="2" t="str">
        <x:v>dried_apple</x:v>
      </x:c>
      <x:c r="D38" s="11" t="str">
        <x:v>Garden and orchard</x:v>
      </x:c>
      <x:c r="E38" s="11" t="str">
        <x:v>Dried apples</x:v>
      </x:c>
      <x:c r="F38" s="11" t="str">
        <x:v>lb</x:v>
      </x:c>
      <x:c r="G38" s="51" t="n">
        <x:f>'Basis'!$F$65*K38</x:f>
        <x:v>0.0075734493123108424</x:v>
      </x:c>
      <x:c r="H38" s="52" t="n">
        <x:f>G38*'Basis'!$D$7</x:f>
        <x:v>1.5904243555852768</x:v>
      </x:c>
      <x:c r="I38" s="52" t="n">
        <x:f>H38*'Basis'!$D$8</x:f>
        <x:v>89.0637639127755</x:v>
      </x:c>
      <x:c r="J38" s="2" t="str">
        <x:v>rye</x:v>
      </x:c>
      <x:c r="K38" s="20" t="n">
        <x:v>0.12</x:v>
      </x:c>
      <x:c r="L38" s="11" t="str">
        <x:v>Prepared winter stores.</x:v>
      </x:c>
    </x:row>
    <x:row r="39" ht="38" customHeight="1">
      <x:c r="C39" s="2" t="str">
        <x:v>pickled_roots</x:v>
      </x:c>
      <x:c r="D39" s="11" t="str">
        <x:v>Garden and orchard</x:v>
      </x:c>
      <x:c r="E39" s="11" t="str">
        <x:v>Pickled roots</x:v>
      </x:c>
      <x:c r="F39" s="11" t="str">
        <x:v>stone (14 lb)</x:v>
      </x:c>
      <x:c r="G39" s="51" t="n">
        <x:f>'Basis'!$F$65*K39</x:f>
        <x:v>0.02650707259308795</x:v>
      </x:c>
      <x:c r="H39" s="52" t="n">
        <x:f>G39*'Basis'!$D$7</x:f>
        <x:v>5.56648524454847</x:v>
      </x:c>
      <x:c r="I39" s="52" t="n">
        <x:f>H39*'Basis'!$D$8</x:f>
        <x:v>311.7231736947143</x:v>
      </x:c>
      <x:c r="J39" s="2" t="str">
        <x:v>rye</x:v>
      </x:c>
      <x:c r="K39" s="20" t="n">
        <x:v>0.42</x:v>
      </x:c>
      <x:c r="L39" s="11" t="str">
        <x:v>Contents only; cask extra.</x:v>
      </x:c>
    </x:row>
    <x:row r="40" ht="38" customHeight="1">
      <x:c r="C40" s="2" t="str">
        <x:v>mushroom</x:v>
      </x:c>
      <x:c r="D40" s="11" t="str">
        <x:v>Garden and orchard</x:v>
      </x:c>
      <x:c r="E40" s="11" t="str">
        <x:v>Edible mushrooms</x:v>
      </x:c>
      <x:c r="F40" s="11" t="str">
        <x:v>lb</x:v>
      </x:c>
      <x:c r="G40" s="51" t="n">
        <x:f>'Basis'!$F$65*K40</x:f>
        <x:v>0.0044178454321813256</x:v>
      </x:c>
      <x:c r="H40" s="52" t="n">
        <x:f>G40*'Basis'!$D$7</x:f>
        <x:v>0.9277475407580784</x:v>
      </x:c>
      <x:c r="I40" s="52" t="n">
        <x:f>H40*'Basis'!$D$8</x:f>
        <x:v>51.95386228245239</x:v>
      </x:c>
      <x:c r="J40" s="2" t="str">
        <x:v>rye</x:v>
      </x:c>
      <x:c r="K40" s="20" t="n">
        <x:v>0.07</x:v>
      </x:c>
      <x:c r="L40" s="11" t="str">
        <x:v>Market food variety.</x:v>
      </x:c>
    </x:row>
    <x:row r="41" ht="38" customHeight="1">
      <x:c r="C41" s="2" t="str">
        <x:v>greens</x:v>
      </x:c>
      <x:c r="D41" s="11" t="str">
        <x:v>Garden and orchard</x:v>
      </x:c>
      <x:c r="E41" s="11" t="str">
        <x:v>Leaf greens</x:v>
      </x:c>
      <x:c r="F41" s="11" t="str">
        <x:v>stone (14 lb)</x:v>
      </x:c>
      <x:c r="G41" s="51" t="n">
        <x:f>'Basis'!$F$65*K41</x:f>
        <x:v>0.0075734493123108424</x:v>
      </x:c>
      <x:c r="H41" s="52" t="n">
        <x:f>G41*'Basis'!$D$7</x:f>
        <x:v>1.5904243555852768</x:v>
      </x:c>
      <x:c r="I41" s="52" t="n">
        <x:f>H41*'Basis'!$D$8</x:f>
        <x:v>89.0637639127755</x:v>
      </x:c>
      <x:c r="J41" s="2" t="str">
        <x:v>rye</x:v>
      </x:c>
      <x:c r="K41" s="20" t="n">
        <x:v>0.12</x:v>
      </x:c>
      <x:c r="L41" s="11" t="str">
        <x:v>Seasonal; no long storage.</x:v>
      </x:c>
    </x:row>
    <x:row r="42" ht="38" customHeight="1">
      <x:c r="C42" s="2" t="str">
        <x:v>beef</x:v>
      </x:c>
      <x:c r="D42" s="11" t="str">
        <x:v>Meat, fish and dairy</x:v>
      </x:c>
      <x:c r="E42" s="11" t="str">
        <x:v>Beef, mixed cuts</x:v>
      </x:c>
      <x:c r="F42" s="11" t="str">
        <x:v>lb</x:v>
      </x:c>
      <x:c r="G42" s="51" t="n">
        <x:f>'Basis'!$F$97*K42</x:f>
        <x:v>0.005112078285809819</x:v>
      </x:c>
      <x:c r="H42" s="52" t="n">
        <x:f>G42*'Basis'!$D$7</x:f>
        <x:v>1.073536440020062</x:v>
      </x:c>
      <x:c r="I42" s="52" t="n">
        <x:f>H42*'Basis'!$D$8</x:f>
        <x:v>60.11804064112347</x:v>
      </x:c>
      <x:c r="J42" s="2" t="str">
        <x:v>cattle</x:v>
      </x:c>
      <x:c r="K42" s="20" t="n">
        <x:v>0.0038571428571428576</x:v>
      </x:c>
      <x:c r="L42" s="11" t="str">
        <x:v>350 lb saleable meat per slaughter beast; butchery included.</x:v>
      </x:c>
    </x:row>
    <x:row r="43" ht="38" customHeight="1">
      <x:c r="C43" s="2" t="str">
        <x:v>beef_good</x:v>
      </x:c>
      <x:c r="D43" s="11" t="str">
        <x:v>Meat, fish and dairy</x:v>
      </x:c>
      <x:c r="E43" s="11" t="str">
        <x:v>Beef, choice cuts</x:v>
      </x:c>
      <x:c r="F43" s="11" t="str">
        <x:v>lb</x:v>
      </x:c>
      <x:c r="G43" s="51" t="n">
        <x:f>'Basis'!$F$97*K43</x:f>
        <x:v>0.007573449312310843</x:v>
      </x:c>
      <x:c r="H43" s="52" t="n">
        <x:f>G43*'Basis'!$D$7</x:f>
        <x:v>1.590424355585277</x:v>
      </x:c>
      <x:c r="I43" s="52" t="n">
        <x:f>H43*'Basis'!$D$8</x:f>
        <x:v>89.06376391277551</x:v>
      </x:c>
      <x:c r="J43" s="2" t="str">
        <x:v>cattle</x:v>
      </x:c>
      <x:c r="K43" s="20" t="n">
        <x:v>0.005714285714285714</x:v>
      </x:c>
      <x:c r="L43" s="11" t="str">
        <x:v>Selected roasting cuts.</x:v>
      </x:c>
    </x:row>
    <x:row r="44" ht="38" customHeight="1">
      <x:c r="C44" s="2" t="str">
        <x:v>beef_salt</x:v>
      </x:c>
      <x:c r="D44" s="11" t="str">
        <x:v>Meat, fish and dairy</x:v>
      </x:c>
      <x:c r="E44" s="11" t="str">
        <x:v>Salt beef</x:v>
      </x:c>
      <x:c r="F44" s="11" t="str">
        <x:v>lb</x:v>
      </x:c>
      <x:c r="G44" s="51" t="n">
        <x:f>'Basis'!$F$97*K44</x:f>
        <x:v>0.00700544061388753</x:v>
      </x:c>
      <x:c r="H44" s="52" t="n">
        <x:f>G44*'Basis'!$D$7</x:f>
        <x:v>1.4711425289163813</x:v>
      </x:c>
      <x:c r="I44" s="52" t="n">
        <x:f>H44*'Basis'!$D$8</x:f>
        <x:v>82.38398161931735</x:v>
      </x:c>
      <x:c r="J44" s="2" t="str">
        <x:v>cattle</x:v>
      </x:c>
      <x:c r="K44" s="20" t="n">
        <x:v>0.005285714285714286</x:v>
      </x:c>
      <x:c r="L44" s="11" t="str">
        <x:v>Boneless preserved ration meat.</x:v>
      </x:c>
    </x:row>
    <x:row r="45" ht="38" customHeight="1">
      <x:c r="C45" s="2" t="str">
        <x:v>offal</x:v>
      </x:c>
      <x:c r="D45" s="11" t="str">
        <x:v>Meat, fish and dairy</x:v>
      </x:c>
      <x:c r="E45" s="11" t="str">
        <x:v>Mixed offal</x:v>
      </x:c>
      <x:c r="F45" s="11" t="str">
        <x:v>lb</x:v>
      </x:c>
      <x:c r="G45" s="51" t="n">
        <x:f>'Basis'!$F$97*K45</x:f>
        <x:v>0.0020826985608854817</x:v>
      </x:c>
      <x:c r="H45" s="52" t="n">
        <x:f>G45*'Basis'!$D$7</x:f>
        <x:v>0.43736669778595116</x:v>
      </x:c>
      <x:c r="I45" s="52" t="n">
        <x:f>H45*'Basis'!$D$8</x:f>
        <x:v>24.492535076013265</x:v>
      </x:c>
      <x:c r="J45" s="2" t="str">
        <x:v>cattle</x:v>
      </x:c>
      <x:c r="K45" s="20" t="n">
        <x:v>0.0015714285714285715</x:v>
      </x:c>
      <x:c r="L45" s="11" t="str">
        <x:v>Fresh edible offal.</x:v>
      </x:c>
    </x:row>
    <x:row r="46" ht="38" customHeight="1">
      <x:c r="C46" s="2" t="str">
        <x:v>pork</x:v>
      </x:c>
      <x:c r="D46" s="11" t="str">
        <x:v>Meat, fish and dairy</x:v>
      </x:c>
      <x:c r="E46" s="11" t="str">
        <x:v>Pork</x:v>
      </x:c>
      <x:c r="F46" s="11" t="str">
        <x:v>lb</x:v>
      </x:c>
      <x:c r="G46" s="51" t="n">
        <x:f>'Basis'!$F$98*K46</x:f>
        <x:v>0.005469713392224499</x:v>
      </x:c>
      <x:c r="H46" s="52" t="n">
        <x:f>G46*'Basis'!$D$7</x:f>
        <x:v>1.1486398123671446</x:v>
      </x:c>
      <x:c r="I46" s="52" t="n">
        <x:f>H46*'Basis'!$D$8</x:f>
        <x:v>64.3238294925601</x:v>
      </x:c>
      <x:c r="J46" s="2" t="str">
        <x:v>pig</x:v>
      </x:c>
      <x:c r="K46" s="20" t="n">
        <x:v>0.014444444444444446</x:v>
      </x:c>
      <x:c r="L46" s="11" t="str">
        <x:v>90 lb saleable meat per pig; butchery included.</x:v>
      </x:c>
    </x:row>
    <x:row r="47" ht="38" customHeight="1">
      <x:c r="C47" s="2" t="str">
        <x:v>bacon</x:v>
      </x:c>
      <x:c r="D47" s="11" t="str">
        <x:v>Meat, fish and dairy</x:v>
      </x:c>
      <x:c r="E47" s="11" t="str">
        <x:v>Bacon</x:v>
      </x:c>
      <x:c r="F47" s="11" t="str">
        <x:v>lb</x:v>
      </x:c>
      <x:c r="G47" s="51" t="n">
        <x:f>'Basis'!$F$98*K47</x:f>
        <x:v>0.008414943680345382</x:v>
      </x:c>
      <x:c r="H47" s="52" t="n">
        <x:f>G47*'Basis'!$D$7</x:f>
        <x:v>1.7671381728725302</x:v>
      </x:c>
      <x:c r="I47" s="52" t="n">
        <x:f>H47*'Basis'!$D$8</x:f>
        <x:v>98.95973768086169</x:v>
      </x:c>
      <x:c r="J47" s="2" t="str">
        <x:v>pig</x:v>
      </x:c>
      <x:c r="K47" s="20" t="n">
        <x:v>0.022222222222222223</x:v>
      </x:c>
      <x:c r="L47" s="11" t="str">
        <x:v>Cured, ready for stores.</x:v>
      </x:c>
    </x:row>
    <x:row r="48" ht="38" customHeight="1">
      <x:c r="C48" s="2" t="str">
        <x:v>sausage</x:v>
      </x:c>
      <x:c r="D48" s="11" t="str">
        <x:v>Meat, fish and dairy</x:v>
      </x:c>
      <x:c r="E48" s="11" t="str">
        <x:v>Sausage</x:v>
      </x:c>
      <x:c r="F48" s="11" t="str">
        <x:v>lb</x:v>
      </x:c>
      <x:c r="G48" s="51" t="n">
        <x:f>'Basis'!$F$98*K48</x:f>
        <x:v>0.006311207760259036</x:v>
      </x:c>
      <x:c r="H48" s="52" t="n">
        <x:f>G48*'Basis'!$D$7</x:f>
        <x:v>1.3253536296543977</x:v>
      </x:c>
      <x:c r="I48" s="52" t="n">
        <x:f>H48*'Basis'!$D$8</x:f>
        <x:v>74.21980326064627</x:v>
      </x:c>
      <x:c r="J48" s="2" t="str">
        <x:v>pig</x:v>
      </x:c>
      <x:c r="K48" s="20" t="n">
        <x:v>0.016666666666666666</x:v>
      </x:c>
      <x:c r="L48" s="11" t="str">
        <x:v>Plain cooked or cured market sausage.</x:v>
      </x:c>
    </x:row>
    <x:row r="49" ht="38" customHeight="1">
      <x:c r="C49" s="2" t="str">
        <x:v>mutton</x:v>
      </x:c>
      <x:c r="D49" s="11" t="str">
        <x:v>Meat, fish and dairy</x:v>
      </x:c>
      <x:c r="E49" s="11" t="str">
        <x:v>Mutton</x:v>
      </x:c>
      <x:c r="F49" s="11" t="str">
        <x:v>lb</x:v>
      </x:c>
      <x:c r="G49" s="51" t="n">
        <x:f>'Basis'!$F$73*K49</x:f>
        <x:v>0.007325509007443523</x:v>
      </x:c>
      <x:c r="H49" s="52" t="n">
        <x:f>G49*'Basis'!$D$7</x:f>
        <x:v>1.5383568915631398</x:v>
      </x:c>
      <x:c r="I49" s="52" t="n">
        <x:f>H49*'Basis'!$D$8</x:f>
        <x:v>86.14798592753583</x:v>
      </x:c>
      <x:c r="J49" s="2" t="str">
        <x:v>sheep</x:v>
      </x:c>
      <x:c r="K49" s="20" t="n">
        <x:v>0.023214285714285715</x:v>
      </x:c>
      <x:c r="L49" s="11" t="str">
        <x:v>Cull sheep valued at 65% of breeding sheep; 35 lb meat.</x:v>
      </x:c>
    </x:row>
    <x:row r="50" ht="38" customHeight="1">
      <x:c r="C50" s="2" t="str">
        <x:v>goat_meat</x:v>
      </x:c>
      <x:c r="D50" s="11" t="str">
        <x:v>Meat, fish and dairy</x:v>
      </x:c>
      <x:c r="E50" s="11" t="str">
        <x:v>Goat meat</x:v>
      </x:c>
      <x:c r="F50" s="11" t="str">
        <x:v>lb</x:v>
      </x:c>
      <x:c r="G50" s="51" t="n">
        <x:f>'Basis'!$F$73*K50</x:f>
        <x:v>0.006574174750269828</x:v>
      </x:c>
      <x:c r="H50" s="52" t="n">
        <x:f>G50*'Basis'!$D$7</x:f>
        <x:v>1.380576697556664</x:v>
      </x:c>
      <x:c r="I50" s="52" t="n">
        <x:f>H50*'Basis'!$D$8</x:f>
        <x:v>77.31229506317318</x:v>
      </x:c>
      <x:c r="J50" s="2" t="str">
        <x:v>sheep</x:v>
      </x:c>
      <x:c r="K50" s="20" t="n">
        <x:v>0.020833333333333332</x:v>
      </x:c>
      <x:c r="L50" s="11" t="str">
        <x:v>Ordinary dressed meat.</x:v>
      </x:c>
    </x:row>
    <x:row r="51" ht="38" customHeight="1">
      <x:c r="C51" s="2" t="str">
        <x:v>venison</x:v>
      </x:c>
      <x:c r="D51" s="11" t="str">
        <x:v>Meat, fish and dairy</x:v>
      </x:c>
      <x:c r="E51" s="11" t="str">
        <x:v>Venison</x:v>
      </x:c>
      <x:c r="F51" s="11" t="str">
        <x:v>lb</x:v>
      </x:c>
      <x:c r="G51" s="51" t="n">
        <x:f>'Basis'!$F$97*K51</x:f>
        <x:v>0.006058759449848675</x:v>
      </x:c>
      <x:c r="H51" s="52" t="n">
        <x:f>G51*'Basis'!$D$7</x:f>
        <x:v>1.2723394844682219</x:v>
      </x:c>
      <x:c r="I51" s="52" t="n">
        <x:f>H51*'Basis'!$D$8</x:f>
        <x:v>71.25101113022042</x:v>
      </x:c>
      <x:c r="J51" s="2" t="str">
        <x:v>cattle</x:v>
      </x:c>
      <x:c r="K51" s="20" t="n">
        <x:v>0.004571428571428572</x:v>
      </x:c>
      <x:c r="L51" s="11" t="str">
        <x:v>Lawfully sold game; no hunting right included.</x:v>
      </x:c>
    </x:row>
    <x:row r="52" ht="38" customHeight="1">
      <x:c r="C52" s="2" t="str">
        <x:v>rabbit_meat</x:v>
      </x:c>
      <x:c r="D52" s="11" t="str">
        <x:v>Meat, fish and dairy</x:v>
      </x:c>
      <x:c r="E52" s="11" t="str">
        <x:v>Dressed rabbit</x:v>
      </x:c>
      <x:c r="F52" s="11" t="str">
        <x:v>carcass, about 2 lb</x:v>
      </x:c>
      <x:c r="G52" s="51" t="n">
        <x:f>'Basis'!$F$97*K52</x:f>
        <x:v>0.008330794243541927</x:v>
      </x:c>
      <x:c r="H52" s="52" t="n">
        <x:f>G52*'Basis'!$D$7</x:f>
        <x:v>1.7494667911438047</x:v>
      </x:c>
      <x:c r="I52" s="52" t="n">
        <x:f>H52*'Basis'!$D$8</x:f>
        <x:v>97.97014030405306</x:v>
      </x:c>
      <x:c r="J52" s="2" t="str">
        <x:v>cattle</x:v>
      </x:c>
      <x:c r="K52" s="20" t="n">
        <x:v>0.006285714285714286</x:v>
      </x:c>
      <x:c r="L52" s="11" t="str">
        <x:v>Clean carcass.</x:v>
      </x:c>
    </x:row>
    <x:row r="53" ht="38" customHeight="1">
      <x:c r="C53" s="2" t="str">
        <x:v>chicken_meat</x:v>
      </x:c>
      <x:c r="D53" s="11" t="str">
        <x:v>Meat, fish and dairy</x:v>
      </x:c>
      <x:c r="E53" s="11" t="str">
        <x:v>Dressed chicken</x:v>
      </x:c>
      <x:c r="F53" s="11" t="str">
        <x:v>carcass, about 3 lb</x:v>
      </x:c>
      <x:c r="G53" s="51" t="n">
        <x:f>'Basis'!$F$98*K53</x:f>
        <x:v>0.013253536296543978</x:v>
      </x:c>
      <x:c r="H53" s="52" t="n">
        <x:f>G53*'Basis'!$D$7</x:f>
        <x:v>2.7832426222742352</x:v>
      </x:c>
      <x:c r="I53" s="52" t="n">
        <x:f>H53*'Basis'!$D$8</x:f>
        <x:v>155.86158684735716</x:v>
      </x:c>
      <x:c r="J53" s="2" t="str">
        <x:v>pig</x:v>
      </x:c>
      <x:c r="K53" s="20" t="n">
        <x:v>0.035</x:v>
      </x:c>
      <x:c r="L53" s="11" t="str">
        <x:v>Plucked and gutted.</x:v>
      </x:c>
    </x:row>
    <x:row r="54" ht="38" customHeight="1">
      <x:c r="C54" s="2" t="str">
        <x:v>duck_meat</x:v>
      </x:c>
      <x:c r="D54" s="11" t="str">
        <x:v>Meat, fish and dairy</x:v>
      </x:c>
      <x:c r="E54" s="11" t="str">
        <x:v>Dressed duck</x:v>
      </x:c>
      <x:c r="F54" s="11" t="str">
        <x:v>carcass, about 4 lb</x:v>
      </x:c>
      <x:c r="G54" s="51" t="n">
        <x:f>'Basis'!$F$98*K54</x:f>
        <x:v>0.02272034793693253</x:v>
      </x:c>
      <x:c r="H54" s="52" t="n">
        <x:f>G54*'Basis'!$D$7</x:f>
        <x:v>4.771273066755831</x:v>
      </x:c>
      <x:c r="I54" s="52" t="n">
        <x:f>H54*'Basis'!$D$8</x:f>
        <x:v>267.1912917383265</x:v>
      </x:c>
      <x:c r="J54" s="2" t="str">
        <x:v>pig</x:v>
      </x:c>
      <x:c r="K54" s="20" t="n">
        <x:v>0.06</x:v>
      </x:c>
      <x:c r="L54" s="11" t="str">
        <x:v>Plucked and gutted.</x:v>
      </x:c>
    </x:row>
    <x:row r="55" ht="38" customHeight="1">
      <x:c r="C55" s="2" t="str">
        <x:v>goose_meat</x:v>
      </x:c>
      <x:c r="D55" s="11" t="str">
        <x:v>Meat, fish and dairy</x:v>
      </x:c>
      <x:c r="E55" s="11" t="str">
        <x:v>Dressed goose</x:v>
      </x:c>
      <x:c r="F55" s="11" t="str">
        <x:v>carcass, about 7 lb</x:v>
      </x:c>
      <x:c r="G55" s="51" t="n">
        <x:f>'Basis'!$F$98*K55</x:f>
        <x:v>0.03786724656155422</x:v>
      </x:c>
      <x:c r="H55" s="52" t="n">
        <x:f>G55*'Basis'!$D$7</x:f>
        <x:v>7.952121777926386</x:v>
      </x:c>
      <x:c r="I55" s="52" t="n">
        <x:f>H55*'Basis'!$D$8</x:f>
        <x:v>445.31881956387764</x:v>
      </x:c>
      <x:c r="J55" s="2" t="str">
        <x:v>pig</x:v>
      </x:c>
      <x:c r="K55" s="20" t="n">
        <x:v>0.1</x:v>
      </x:c>
      <x:c r="L55" s="11" t="str">
        <x:v>Plucked and gutted.</x:v>
      </x:c>
    </x:row>
    <x:row r="56" ht="38" customHeight="1">
      <x:c r="C56" s="2" t="str">
        <x:v>fresh_fish</x:v>
      </x:c>
      <x:c r="D56" s="11" t="str">
        <x:v>Meat, fish and dairy</x:v>
      </x:c>
      <x:c r="E56" s="11" t="str">
        <x:v>Fresh mixed fish</x:v>
      </x:c>
      <x:c r="F56" s="11" t="str">
        <x:v>stone (14 lb)</x:v>
      </x:c>
      <x:c r="G56" s="51" t="n">
        <x:f>'Basis'!$F$108*K56</x:f>
        <x:v>0.04174863933411352</x:v>
      </x:c>
      <x:c r="H56" s="52" t="n">
        <x:f>G56*'Basis'!$D$7</x:f>
        <x:v>8.767214260163838</x:v>
      </x:c>
      <x:c r="I56" s="52" t="n">
        <x:f>H56*'Basis'!$D$8</x:f>
        <x:v>490.9639985691749</x:v>
      </x:c>
      <x:c r="J56" s="2" t="str">
        <x:v>fish</x:v>
      </x:c>
      <x:c r="K56" s="20" t="n">
        <x:v>0.45</x:v>
      </x:c>
      <x:c r="L56" s="11" t="str">
        <x:v>Coastal market; sell promptly.</x:v>
      </x:c>
    </x:row>
    <x:row r="57" ht="38" customHeight="1">
      <x:c r="C57" s="2" t="str">
        <x:v>fish</x:v>
      </x:c>
      <x:c r="D57" s="11" t="str">
        <x:v>Meat, fish and dairy</x:v>
      </x:c>
      <x:c r="E57" s="11" t="str">
        <x:v>Preserved fish</x:v>
      </x:c>
      <x:c r="F57" s="11" t="str">
        <x:v>stone (14 lb)</x:v>
      </x:c>
      <x:c r="G57" s="51" t="n">
        <x:f>'Basis'!$F$108*K57</x:f>
        <x:v>0.09277475407580782</x:v>
      </x:c>
      <x:c r="H57" s="52" t="n">
        <x:f>G57*'Basis'!$D$7</x:f>
        <x:v>19.48269835591964</x:v>
      </x:c>
      <x:c r="I57" s="52" t="n">
        <x:f>H57*'Basis'!$D$8</x:f>
        <x:v>1091.0311079315</x:v>
      </x:c>
      <x:c r="J57" s="2" t="str">
        <x:v>fish</x:v>
      </x:c>
      <x:c r="K57" s="20" t="n">
        <x:v>1</x:v>
      </x:c>
      <x:c r="L57" s="11" t="str">
        <x:v>Salted or dried; fiscal-model anchor.</x:v>
      </x:c>
    </x:row>
    <x:row r="58" ht="38" customHeight="1">
      <x:c r="C58" s="2" t="str">
        <x:v>herring</x:v>
      </x:c>
      <x:c r="D58" s="11" t="str">
        <x:v>Meat, fish and dairy</x:v>
      </x:c>
      <x:c r="E58" s="11" t="str">
        <x:v>Salt herring</x:v>
      </x:c>
      <x:c r="F58" s="11" t="str">
        <x:v>stone (14 lb)</x:v>
      </x:c>
      <x:c r="G58" s="51" t="n">
        <x:f>'Basis'!$F$108*K58</x:f>
        <x:v>0.06958106555685586</x:v>
      </x:c>
      <x:c r="H58" s="52" t="n">
        <x:f>G58*'Basis'!$D$7</x:f>
        <x:v>14.612023766939732</x:v>
      </x:c>
      <x:c r="I58" s="52" t="n">
        <x:f>H58*'Basis'!$D$8</x:f>
        <x:v>818.273330948625</x:v>
      </x:c>
      <x:c r="J58" s="2" t="str">
        <x:v>fish</x:v>
      </x:c>
      <x:c r="K58" s="20" t="n">
        <x:v>0.75</x:v>
      </x:c>
      <x:c r="L58" s="11" t="str">
        <x:v>Common bulk preserved fish.</x:v>
      </x:c>
    </x:row>
    <x:row r="59" ht="38" customHeight="1">
      <x:c r="C59" s="2" t="str">
        <x:v>smoked_fish</x:v>
      </x:c>
      <x:c r="D59" s="11" t="str">
        <x:v>Meat, fish and dairy</x:v>
      </x:c>
      <x:c r="E59" s="11" t="str">
        <x:v>Smoked fish</x:v>
      </x:c>
      <x:c r="F59" s="11" t="str">
        <x:v>stone (14 lb)</x:v>
      </x:c>
      <x:c r="G59" s="51" t="n">
        <x:f>'Basis'!$F$108*K59</x:f>
        <x:v>0.10669096718717898</x:v>
      </x:c>
      <x:c r="H59" s="52" t="n">
        <x:f>G59*'Basis'!$D$7</x:f>
        <x:v>22.405103109307586</x:v>
      </x:c>
      <x:c r="I59" s="52" t="n">
        <x:f>H59*'Basis'!$D$8</x:f>
        <x:v>1254.6857741212248</x:v>
      </x:c>
      <x:c r="J59" s="2" t="str">
        <x:v>fish</x:v>
      </x:c>
      <x:c r="K59" s="20" t="n">
        <x:v>1.15</x:v>
      </x:c>
      <x:c r="L59" s="11" t="str">
        <x:v>Prepared market fish.</x:v>
      </x:c>
    </x:row>
    <x:row r="60" ht="38" customHeight="1">
      <x:c r="C60" s="2" t="str">
        <x:v>salmon</x:v>
      </x:c>
      <x:c r="D60" s="11" t="str">
        <x:v>Meat, fish and dairy</x:v>
      </x:c>
      <x:c r="E60" s="11" t="str">
        <x:v>Fresh salmon</x:v>
      </x:c>
      <x:c r="F60" s="11" t="str">
        <x:v>stone (14 lb)</x:v>
      </x:c>
      <x:c r="G60" s="51" t="n">
        <x:f>'Basis'!$F$108*K60</x:f>
        <x:v>0.12988465570613095</x:v>
      </x:c>
      <x:c r="H60" s="52" t="n">
        <x:f>G60*'Basis'!$D$7</x:f>
        <x:v>27.2757776982875</x:v>
      </x:c>
      <x:c r="I60" s="52" t="n">
        <x:f>H60*'Basis'!$D$8</x:f>
        <x:v>1527.4435511041</x:v>
      </x:c>
      <x:c r="J60" s="2" t="str">
        <x:v>fish</x:v>
      </x:c>
      <x:c r="K60" s="20" t="n">
        <x:v>1.4</x:v>
      </x:c>
      <x:c r="L60" s="11" t="str">
        <x:v>Seasonal premium fish.</x:v>
      </x:c>
    </x:row>
    <x:row r="61" ht="38" customHeight="1">
      <x:c r="C61" s="2" t="str">
        <x:v>crab</x:v>
      </x:c>
      <x:c r="D61" s="11" t="str">
        <x:v>Meat, fish and dairy</x:v>
      </x:c>
      <x:c r="E61" s="11" t="str">
        <x:v>Crab</x:v>
      </x:c>
      <x:c r="F61" s="11" t="str">
        <x:v>stone (14 lb) live</x:v>
      </x:c>
      <x:c r="G61" s="51" t="n">
        <x:f>'Basis'!$F$108*K61</x:f>
        <x:v>0.06030359014927508</x:v>
      </x:c>
      <x:c r="H61" s="52" t="n">
        <x:f>G61*'Basis'!$D$7</x:f>
        <x:v>12.663753931347767</x:v>
      </x:c>
      <x:c r="I61" s="52" t="n">
        <x:f>H61*'Basis'!$D$8</x:f>
        <x:v>709.1702201554749</x:v>
      </x:c>
      <x:c r="J61" s="2" t="str">
        <x:v>fish</x:v>
      </x:c>
      <x:c r="K61" s="20" t="n">
        <x:v>0.65</x:v>
      </x:c>
      <x:c r="L61" s="11" t="str">
        <x:v>Shell weight included.</x:v>
      </x:c>
    </x:row>
    <x:row r="62" ht="38" customHeight="1">
      <x:c r="C62" s="2" t="str">
        <x:v>oyster</x:v>
      </x:c>
      <x:c r="D62" s="11" t="str">
        <x:v>Meat, fish and dairy</x:v>
      </x:c>
      <x:c r="E62" s="11" t="str">
        <x:v>Oysters</x:v>
      </x:c>
      <x:c r="F62" s="11" t="str">
        <x:v>dozen</x:v>
      </x:c>
      <x:c r="G62" s="51" t="n">
        <x:f>'Basis'!$F$108*K62</x:f>
        <x:v>0.011132970489096937</x:v>
      </x:c>
      <x:c r="H62" s="52" t="n">
        <x:f>G62*'Basis'!$D$7</x:f>
        <x:v>2.337923802710357</x:v>
      </x:c>
      <x:c r="I62" s="52" t="n">
        <x:f>H62*'Basis'!$D$8</x:f>
        <x:v>130.92373295177998</x:v>
      </x:c>
      <x:c r="J62" s="2" t="str">
        <x:v>fish</x:v>
      </x:c>
      <x:c r="K62" s="20" t="n">
        <x:v>0.12</x:v>
      </x:c>
      <x:c r="L62" s="11" t="str">
        <x:v>Fresh near the coast.</x:v>
      </x:c>
    </x:row>
    <x:row r="63" ht="38" customHeight="1">
      <x:c r="C63" s="2" t="str">
        <x:v>dairy</x:v>
      </x:c>
      <x:c r="D63" s="11" t="str">
        <x:v>Meat, fish and dairy</x:v>
      </x:c>
      <x:c r="E63" s="11" t="str">
        <x:v>Milk-equivalent dairy</x:v>
      </x:c>
      <x:c r="F63" s="11" t="str">
        <x:v>stone (14 lb)</x:v>
      </x:c>
      <x:c r="G63" s="51" t="n">
        <x:f>'Basis'!$F$107*K63</x:f>
        <x:v>0.018933623280777107</x:v>
      </x:c>
      <x:c r="H63" s="52" t="n">
        <x:f>G63*'Basis'!$D$7</x:f>
        <x:v>3.9760608889631923</x:v>
      </x:c>
      <x:c r="I63" s="52" t="n">
        <x:f>H63*'Basis'!$D$8</x:f>
        <x:v>222.65940978193876</x:v>
      </x:c>
      <x:c r="J63" s="2" t="str">
        <x:v>dairy</x:v>
      </x:c>
      <x:c r="K63" s="20" t="n">
        <x:v>1</x:v>
      </x:c>
      <x:c r="L63" s="11" t="str">
        <x:v>Fiscal aggregation unit; not a cheese weight price.</x:v>
      </x:c>
    </x:row>
    <x:row r="64" ht="38" customHeight="1">
      <x:c r="C64" s="2" t="str">
        <x:v>milk</x:v>
      </x:c>
      <x:c r="D64" s="11" t="str">
        <x:v>Meat, fish and dairy</x:v>
      </x:c>
      <x:c r="E64" s="11" t="str">
        <x:v>Whole milk</x:v>
      </x:c>
      <x:c r="F64" s="11" t="str">
        <x:v>pint</x:v>
      </x:c>
      <x:c r="G64" s="51" t="n">
        <x:f>'Basis'!$F$107*K64</x:f>
        <x:v>0.001690502078640813</x:v>
      </x:c>
      <x:c r="H64" s="52" t="n">
        <x:f>G64*'Basis'!$D$7</x:f>
        <x:v>0.3550054365145707</x:v>
      </x:c>
      <x:c r="I64" s="52" t="n">
        <x:f>H64*'Basis'!$D$8</x:f>
        <x:v>19.880304444815962</x:v>
      </x:c>
      <x:c r="J64" s="2" t="str">
        <x:v>dairy</x:v>
      </x:c>
      <x:c r="K64" s="20" t="n">
        <x:v>0.08928571428571429</x:v>
      </x:c>
      <x:c r="L64" s="11" t="str">
        <x:v>Model unit: one pint milk weighs about 1.25 lb.</x:v>
      </x:c>
    </x:row>
    <x:row r="65" ht="38" customHeight="1">
      <x:c r="C65" s="2" t="str">
        <x:v>butter</x:v>
      </x:c>
      <x:c r="D65" s="11" t="str">
        <x:v>Meat, fish and dairy</x:v>
      </x:c>
      <x:c r="E65" s="11" t="str">
        <x:v>Butter</x:v>
      </x:c>
      <x:c r="F65" s="11" t="str">
        <x:v>lb</x:v>
      </x:c>
      <x:c r="G65" s="51" t="n">
        <x:f>'Basis'!$F$107*K65</x:f>
        <x:v>0.03570340390089397</x:v>
      </x:c>
      <x:c r="H65" s="52" t="n">
        <x:f>G65*'Basis'!$D$7</x:f>
        <x:v>7.497714819187734</x:v>
      </x:c>
      <x:c r="I65" s="52" t="n">
        <x:f>H65*'Basis'!$D$8</x:f>
        <x:v>419.8720298745131</x:v>
      </x:c>
      <x:c r="J65" s="2" t="str">
        <x:v>dairy</x:v>
      </x:c>
      <x:c r="K65" s="20" t="n">
        <x:v>1.8857142857142857</x:v>
      </x:c>
      <x:c r="L65" s="11" t="str">
        <x:v>22 lb milk equivalent plus processing.</x:v>
      </x:c>
    </x:row>
    <x:row r="66" ht="38" customHeight="1">
      <x:c r="C66" s="2" t="str">
        <x:v>cheese</x:v>
      </x:c>
      <x:c r="D66" s="11" t="str">
        <x:v>Meat, fish and dairy</x:v>
      </x:c>
      <x:c r="E66" s="11" t="str">
        <x:v>Hard keeping cheese</x:v>
      </x:c>
      <x:c r="F66" s="11" t="str">
        <x:v>lb</x:v>
      </x:c>
      <x:c r="G66" s="51" t="n">
        <x:f>'Basis'!$F$107*K66</x:f>
        <x:v>0.016228819954951804</x:v>
      </x:c>
      <x:c r="H66" s="52" t="n">
        <x:f>G66*'Basis'!$D$7</x:f>
        <x:v>3.4080521905398786</x:v>
      </x:c>
      <x:c r="I66" s="52" t="n">
        <x:f>H66*'Basis'!$D$8</x:f>
        <x:v>190.85092267023322</x:v>
      </x:c>
      <x:c r="J66" s="2" t="str">
        <x:v>dairy</x:v>
      </x:c>
      <x:c r="K66" s="20" t="n">
        <x:v>0.8571428571428571</x:v>
      </x:c>
      <x:c r="L66" s="11" t="str">
        <x:v>10 lb milk equivalent plus processing.</x:v>
      </x:c>
    </x:row>
    <x:row r="67" ht="38" customHeight="1">
      <x:c r="C67" s="2" t="str">
        <x:v>goat_cheese</x:v>
      </x:c>
      <x:c r="D67" s="11" t="str">
        <x:v>Meat, fish and dairy</x:v>
      </x:c>
      <x:c r="E67" s="11" t="str">
        <x:v>Goat cheese</x:v>
      </x:c>
      <x:c r="F67" s="11" t="str">
        <x:v>lb</x:v>
      </x:c>
      <x:c r="G67" s="51" t="n">
        <x:f>'Basis'!$F$107*K67</x:f>
        <x:v>0.018933623280777107</x:v>
      </x:c>
      <x:c r="H67" s="52" t="n">
        <x:f>G67*'Basis'!$D$7</x:f>
        <x:v>3.9760608889631923</x:v>
      </x:c>
      <x:c r="I67" s="52" t="n">
        <x:f>H67*'Basis'!$D$8</x:f>
        <x:v>222.65940978193876</x:v>
      </x:c>
      <x:c r="J67" s="2" t="str">
        <x:v>dairy</x:v>
      </x:c>
      <x:c r="K67" s="20" t="n">
        <x:v>1</x:v>
      </x:c>
      <x:c r="L67" s="11" t="str">
        <x:v>Firm cheese, finished weight.</x:v>
      </x:c>
    </x:row>
    <x:row r="68" ht="38" customHeight="1">
      <x:c r="C68" s="2" t="str">
        <x:v>eggs</x:v>
      </x:c>
      <x:c r="D68" s="11" t="str">
        <x:v>Meat, fish and dairy</x:v>
      </x:c>
      <x:c r="E68" s="11" t="str">
        <x:v>Hen eggs</x:v>
      </x:c>
      <x:c r="F68" s="11" t="str">
        <x:v>dozen</x:v>
      </x:c>
      <x:c r="G68" s="51" t="n">
        <x:f>'Basis'!$F$98*K68</x:f>
        <x:v>0.0056800869842331325</x:v>
      </x:c>
      <x:c r="H68" s="52" t="n">
        <x:f>G68*'Basis'!$D$7</x:f>
        <x:v>1.1928182666889577</x:v>
      </x:c>
      <x:c r="I68" s="52" t="n">
        <x:f>H68*'Basis'!$D$8</x:f>
        <x:v>66.79782293458163</x:v>
      </x:c>
      <x:c r="J68" s="2" t="str">
        <x:v>pig</x:v>
      </x:c>
      <x:c r="K68" s="20" t="n">
        <x:v>0.015</x:v>
      </x:c>
      <x:c r="L68" s="11" t="str">
        <x:v>Ordinary fresh eggs.</x:v>
      </x:c>
    </x:row>
    <x:row r="69" ht="38" customHeight="1">
      <x:c r="C69" s="2" t="str">
        <x:v>lard</x:v>
      </x:c>
      <x:c r="D69" s="11" t="str">
        <x:v>Meat, fish and dairy</x:v>
      </x:c>
      <x:c r="E69" s="11" t="str">
        <x:v>Rendered lard</x:v>
      </x:c>
      <x:c r="F69" s="11" t="str">
        <x:v>lb</x:v>
      </x:c>
      <x:c r="G69" s="51" t="n">
        <x:f>'Basis'!$F$98*K69</x:f>
        <x:v>0.003786724656155422</x:v>
      </x:c>
      <x:c r="H69" s="52" t="n">
        <x:f>G69*'Basis'!$D$7</x:f>
        <x:v>0.7952121777926386</x:v>
      </x:c>
      <x:c r="I69" s="52" t="n">
        <x:f>H69*'Basis'!$D$8</x:f>
        <x:v>44.531881956387764</x:v>
      </x:c>
      <x:c r="J69" s="2" t="str">
        <x:v>pig</x:v>
      </x:c>
      <x:c r="K69" s="20" t="n">
        <x:v>0.01</x:v>
      </x:c>
      <x:c r="L69" s="11" t="str">
        <x:v>Cooking or workshop grade.</x:v>
      </x:c>
    </x:row>
    <x:row r="70" ht="38" customHeight="1">
      <x:c r="C70" s="2" t="str">
        <x:v>small_ale</x:v>
      </x:c>
      <x:c r="D70" s="11" t="str">
        <x:v>Drink and brewing</x:v>
      </x:c>
      <x:c r="E70" s="11" t="str">
        <x:v>Small ale</x:v>
      </x:c>
      <x:c r="F70" s="11" t="str">
        <x:v>gallon (8 pints)</x:v>
      </x:c>
      <x:c r="G70" s="51" t="n">
        <x:f>'Basis'!$F$66*K70</x:f>
        <x:v>0.0015320175087682373</x:v>
      </x:c>
      <x:c r="H70" s="52" t="n">
        <x:f>G70*'Basis'!$D$7</x:f>
        <x:v>0.32172367684132985</x:v>
      </x:c>
      <x:c r="I70" s="52" t="n">
        <x:f>H70*'Basis'!$D$8</x:f>
        <x:v>18.01652590311447</x:v>
      </x:c>
      <x:c r="J70" s="2" t="str">
        <x:v>barley</x:v>
      </x:c>
      <x:c r="K70" s="20" t="n">
        <x:v>0.021240234375</x:v>
      </x:c>
      <x:c r="L70" s="11" t="str">
        <x:v>Bulk brewery collection; vessel extra.</x:v>
      </x:c>
    </x:row>
    <x:row r="71" ht="38" customHeight="1">
      <x:c r="C71" s="2" t="str">
        <x:v>ale</x:v>
      </x:c>
      <x:c r="D71" s="11" t="str">
        <x:v>Drink and brewing</x:v>
      </x:c>
      <x:c r="E71" s="11" t="str">
        <x:v>Ordinary ale</x:v>
      </x:c>
      <x:c r="F71" s="11" t="str">
        <x:v>gallon (8 pints)</x:v>
      </x:c>
      <x:c r="G71" s="51" t="n">
        <x:f>'Basis'!$F$66*K71</x:f>
        <x:v>0.003268304018705573</x:v>
      </x:c>
      <x:c r="H71" s="52" t="n">
        <x:f>G71*'Basis'!$D$7</x:f>
        <x:v>0.6863438439281704</x:v>
      </x:c>
      <x:c r="I71" s="52" t="n">
        <x:f>H71*'Basis'!$D$8</x:f>
        <x:v>38.43525525997754</x:v>
      </x:c>
      <x:c r="J71" s="2" t="str">
        <x:v>barley</x:v>
      </x:c>
      <x:c r="K71" s="20" t="n">
        <x:v>0.045312500000000006</x:v>
      </x:c>
      <x:c r="L71" s="11" t="str">
        <x:v>Bulk brewery collection; vessel extra.</x:v>
      </x:c>
    </x:row>
    <x:row r="72" ht="38" customHeight="1">
      <x:c r="C72" s="2" t="str">
        <x:v>stout</x:v>
      </x:c>
      <x:c r="D72" s="11" t="str">
        <x:v>Drink and brewing</x:v>
      </x:c>
      <x:c r="E72" s="11" t="str">
        <x:v>Strong dark beer</x:v>
      </x:c>
      <x:c r="F72" s="11" t="str">
        <x:v>gallon (8 pints)</x:v>
      </x:c>
      <x:c r="G72" s="51" t="n">
        <x:f>'Basis'!$F$66*K72</x:f>
        <x:v>0.005515263031565654</x:v>
      </x:c>
      <x:c r="H72" s="52" t="n">
        <x:f>G72*'Basis'!$D$7</x:f>
        <x:v>1.1582052366287874</x:v>
      </x:c>
      <x:c r="I72" s="52" t="n">
        <x:f>H72*'Basis'!$D$8</x:f>
        <x:v>64.85949325121209</x:v>
      </x:c>
      <x:c r="J72" s="2" t="str">
        <x:v>barley</x:v>
      </x:c>
      <x:c r="K72" s="20" t="n">
        <x:v>0.07646484375</x:v>
      </x:c>
      <x:c r="L72" s="11" t="str">
        <x:v>Bulk strong beer; vessel extra.</x:v>
      </x:c>
    </x:row>
    <x:row r="73" ht="38" customHeight="1">
      <x:c r="C73" s="2" t="str">
        <x:v>ale_pint</x:v>
      </x:c>
      <x:c r="D73" s="11" t="str">
        <x:v>Drink and brewing</x:v>
      </x:c>
      <x:c r="E73" s="11" t="str">
        <x:v>Ale, tavern serving</x:v>
      </x:c>
      <x:c r="F73" s="11" t="str">
        <x:v>pint</x:v>
      </x:c>
      <x:c r="G73" s="51" t="n">
        <x:f>'Basis'!$F$66*K73</x:f>
        <x:v>0.0008170760046763933</x:v>
      </x:c>
      <x:c r="H73" s="52" t="n">
        <x:f>G73*'Basis'!$D$7</x:f>
        <x:v>0.1715859609820426</x:v>
      </x:c>
      <x:c r="I73" s="52" t="n">
        <x:f>H73*'Basis'!$D$8</x:f>
        <x:v>9.608813814994384</x:v>
      </x:c>
      <x:c r="J73" s="2" t="str">
        <x:v>barley</x:v>
      </x:c>
      <x:c r="K73" s="20" t="n">
        <x:v>0.011328125000000001</x:v>
      </x:c>
      <x:c r="L73" s="11" t="str">
        <x:v>Retail serving, cup and service included.</x:v>
      </x:c>
    </x:row>
    <x:row r="74" ht="38" customHeight="1">
      <x:c r="C74" s="2" t="str">
        <x:v>ale_barrel</x:v>
      </x:c>
      <x:c r="D74" s="11" t="str">
        <x:v>Drink and brewing</x:v>
      </x:c>
      <x:c r="E74" s="11" t="str">
        <x:v>Ordinary ale, barrel contents</x:v>
      </x:c>
      <x:c r="F74" s="11" t="str">
        <x:v>36 gallons</x:v>
      </x:c>
      <x:c r="G74" s="51" t="n">
        <x:f>'Basis'!$F$66*K74</x:f>
        <x:v>0.11765894467340063</x:v>
      </x:c>
      <x:c r="H74" s="52" t="n">
        <x:f>G74*'Basis'!$D$7</x:f>
        <x:v>24.708378381414132</x:v>
      </x:c>
      <x:c r="I74" s="52" t="n">
        <x:f>H74*'Basis'!$D$8</x:f>
        <x:v>1383.6691893591915</x:v>
      </x:c>
      <x:c r="J74" s="2" t="str">
        <x:v>barley</x:v>
      </x:c>
      <x:c r="K74" s="20" t="n">
        <x:v>1.63125</x:v>
      </x:c>
      <x:c r="L74" s="11" t="str">
        <x:v>Beer only; returnable barrel deposit separate.</x:v>
      </x:c>
    </x:row>
    <x:row r="75" ht="38" customHeight="1">
      <x:c r="C75" s="2" t="str">
        <x:v>cider</x:v>
      </x:c>
      <x:c r="D75" s="11" t="str">
        <x:v>Drink and brewing</x:v>
      </x:c>
      <x:c r="E75" s="11" t="str">
        <x:v>Cider</x:v>
      </x:c>
      <x:c r="F75" s="11" t="str">
        <x:v>gallon</x:v>
      </x:c>
      <x:c r="G75" s="51" t="n">
        <x:f>'Basis'!$F$65*K75</x:f>
        <x:v>0.03651484489864157</x:v>
      </x:c>
      <x:c r="H75" s="52" t="n">
        <x:f>G75*'Basis'!$D$7</x:f>
        <x:v>7.668117428714729</x:v>
      </x:c>
      <x:c r="I75" s="52" t="n">
        <x:f>H75*'Basis'!$D$8</x:f>
        <x:v>429.4145760080248</x:v>
      </x:c>
      <x:c r="J75" s="2" t="str">
        <x:v>rye</x:v>
      </x:c>
      <x:c r="K75" s="20" t="n">
        <x:v>0.5785714285714286</x:v>
      </x:c>
      <x:c r="L75" s="11" t="str">
        <x:v>Bulk pressed and fermented; cask extra.</x:v>
      </x:c>
    </x:row>
    <x:row r="76" ht="38" customHeight="1">
      <x:c r="C76" s="2" t="str">
        <x:v>mead</x:v>
      </x:c>
      <x:c r="D76" s="11" t="str">
        <x:v>Drink and brewing</x:v>
      </x:c>
      <x:c r="E76" s="11" t="str">
        <x:v>Mead</x:v>
      </x:c>
      <x:c r="F76" s="11" t="str">
        <x:v>gallon</x:v>
      </x:c>
      <x:c r="G76" s="51" t="n">
        <x:f>'Basis'!$F$95*K76</x:f>
        <x:v>0.014425617737734943</x:v>
      </x:c>
      <x:c r="H76" s="52" t="n">
        <x:f>G76*'Basis'!$D$7</x:f>
        <x:v>3.029379724924338</x:v>
      </x:c>
      <x:c r="I76" s="52" t="n">
        <x:f>H76*'Basis'!$D$8</x:f>
        <x:v>169.6452645957629</x:v>
      </x:c>
      <x:c r="J76" s="2" t="str">
        <x:v>salt</x:v>
      </x:c>
      <x:c r="K76" s="20" t="n">
        <x:v>0.8</x:v>
      </x:c>
      <x:c r="L76" s="11" t="str">
        <x:v>Bulk drink; cask extra.</x:v>
      </x:c>
    </x:row>
    <x:row r="77" ht="38" customHeight="1">
      <x:c r="C77" s="2" t="str">
        <x:v>wine_red</x:v>
      </x:c>
      <x:c r="D77" s="11" t="str">
        <x:v>Drink and brewing</x:v>
      </x:c>
      <x:c r="E77" s="11" t="str">
        <x:v>Ordinary southern red wine</x:v>
      </x:c>
      <x:c r="F77" s="11" t="str">
        <x:v>gallon</x:v>
      </x:c>
      <x:c r="G77" s="51" t="n">
        <x:f>'Basis'!$F$95*K77</x:f>
        <x:v>0.025244831041036146</x:v>
      </x:c>
      <x:c r="H77" s="52" t="n">
        <x:f>G77*'Basis'!$D$7</x:f>
        <x:v>5.301414518617591</x:v>
      </x:c>
      <x:c r="I77" s="52" t="n">
        <x:f>H77*'Basis'!$D$8</x:f>
        <x:v>296.8792130425851</x:v>
      </x:c>
      <x:c r="J77" s="2" t="str">
        <x:v>salt</x:v>
      </x:c>
      <x:c r="K77" s="20" t="n">
        <x:v>1.4</x:v>
      </x:c>
      <x:c r="L77" s="11" t="str">
        <x:v>Landed White Harbor wholesale; container extra.</x:v>
      </x:c>
    </x:row>
    <x:row r="78" ht="38" customHeight="1">
      <x:c r="C78" s="2" t="str">
        <x:v>wine_dornish</x:v>
      </x:c>
      <x:c r="D78" s="11" t="str">
        <x:v>Drink and brewing</x:v>
      </x:c>
      <x:c r="E78" s="11" t="str">
        <x:v>Good Dornish red wine</x:v>
      </x:c>
      <x:c r="F78" s="11" t="str">
        <x:v>gallon</x:v>
      </x:c>
      <x:c r="G78" s="51" t="n">
        <x:f>'Basis'!$F$95*K78</x:f>
        <x:v>0.043276853213204826</x:v>
      </x:c>
      <x:c r="H78" s="52" t="n">
        <x:f>G78*'Basis'!$D$7</x:f>
        <x:v>9.088139174773014</x:v>
      </x:c>
      <x:c r="I78" s="52" t="n">
        <x:f>H78*'Basis'!$D$8</x:f>
        <x:v>508.9357937872888</x:v>
      </x:c>
      <x:c r="J78" s="2" t="str">
        <x:v>salt</x:v>
      </x:c>
      <x:c r="K78" s="20" t="n">
        <x:v>2.4</x:v>
      </x:c>
      <x:c r="L78" s="11" t="str">
        <x:v>Landed White Harbor wholesale; container extra.</x:v>
      </x:c>
    </x:row>
    <x:row r="79" ht="38" customHeight="1">
      <x:c r="C79" s="2" t="str">
        <x:v>wine_arbor</x:v>
      </x:c>
      <x:c r="D79" s="11" t="str">
        <x:v>Drink and brewing</x:v>
      </x:c>
      <x:c r="E79" s="11" t="str">
        <x:v>Arbor gold, good vintage</x:v>
      </x:c>
      <x:c r="F79" s="11" t="str">
        <x:v>gallon</x:v>
      </x:c>
      <x:c r="G79" s="51" t="n">
        <x:f>'Basis'!$F$95*K79</x:f>
        <x:v>0.08114409977475905</x:v>
      </x:c>
      <x:c r="H79" s="52" t="n">
        <x:f>G79*'Basis'!$D$7</x:f>
        <x:v>17.0402609526994</x:v>
      </x:c>
      <x:c r="I79" s="52" t="n">
        <x:f>H79*'Basis'!$D$8</x:f>
        <x:v>954.2546133511663</x:v>
      </x:c>
      <x:c r="J79" s="2" t="str">
        <x:v>salt</x:v>
      </x:c>
      <x:c r="K79" s="20" t="n">
        <x:v>4.5</x:v>
      </x:c>
      <x:c r="L79" s="11" t="str">
        <x:v>Landed White Harbor wholesale; container extra.</x:v>
      </x:c>
    </x:row>
    <x:row r="80" ht="38" customHeight="1">
      <x:c r="C80" s="2" t="str">
        <x:v>wine_sweet</x:v>
      </x:c>
      <x:c r="D80" s="11" t="str">
        <x:v>Drink and brewing</x:v>
      </x:c>
      <x:c r="E80" s="11" t="str">
        <x:v>Sweet imported wine</x:v>
      </x:c>
      <x:c r="F80" s="11" t="str">
        <x:v>gallon</x:v>
      </x:c>
      <x:c r="G80" s="51" t="n">
        <x:f>'Basis'!$F$95*K80</x:f>
        <x:v>0.05950567316815663</x:v>
      </x:c>
      <x:c r="H80" s="52" t="n">
        <x:f>G80*'Basis'!$D$7</x:f>
        <x:v>12.496191365312892</x:v>
      </x:c>
      <x:c r="I80" s="52" t="n">
        <x:f>H80*'Basis'!$D$8</x:f>
        <x:v>699.786716457522</x:v>
      </x:c>
      <x:c r="J80" s="2" t="str">
        <x:v>salt</x:v>
      </x:c>
      <x:c r="K80" s="20" t="n">
        <x:v>3.3</x:v>
      </x:c>
      <x:c r="L80" s="11" t="str">
        <x:v>Landed White Harbor wholesale; container extra.</x:v>
      </x:c>
    </x:row>
    <x:row r="81" ht="38" customHeight="1">
      <x:c r="C81" s="2" t="str">
        <x:v>wine_cup</x:v>
      </x:c>
      <x:c r="D81" s="11" t="str">
        <x:v>Drink and brewing</x:v>
      </x:c>
      <x:c r="E81" s="11" t="str">
        <x:v>Ordinary wine, tavern serving</x:v>
      </x:c>
      <x:c r="F81" s="11" t="str">
        <x:v>half-pint</x:v>
      </x:c>
      <x:c r="G81" s="51" t="n">
        <x:f>'Basis'!$F$95*K81</x:f>
        <x:v>0.003155603880129518</x:v>
      </x:c>
      <x:c r="H81" s="52" t="n">
        <x:f>G81*'Basis'!$D$7</x:f>
        <x:v>0.6626768148271989</x:v>
      </x:c>
      <x:c r="I81" s="52" t="n">
        <x:f>H81*'Basis'!$D$8</x:f>
        <x:v>37.10990163032314</x:v>
      </x:c>
      <x:c r="J81" s="2" t="str">
        <x:v>salt</x:v>
      </x:c>
      <x:c r="K81" s="20" t="n">
        <x:v>0.175</x:v>
      </x:c>
      <x:c r="L81" s="11" t="str">
        <x:v>Retail serving.</x:v>
      </x:c>
    </x:row>
    <x:row r="82" ht="38" customHeight="1">
      <x:c r="C82" s="2" t="str">
        <x:v>brewers_herbs</x:v>
      </x:c>
      <x:c r="D82" s="11" t="str">
        <x:v>Drink and brewing</x:v>
      </x:c>
      <x:c r="E82" s="11" t="str">
        <x:v>Bitter brewing herbs</x:v>
      </x:c>
      <x:c r="F82" s="11" t="str">
        <x:v>lb dry</x:v>
      </x:c>
      <x:c r="G82" s="51" t="n">
        <x:f>'Basis'!$F$95*K82</x:f>
        <x:v>0.005409606651650603</x:v>
      </x:c>
      <x:c r="H82" s="52" t="n">
        <x:f>G82*'Basis'!$D$7</x:f>
        <x:v>1.1360173968466267</x:v>
      </x:c>
      <x:c r="I82" s="52" t="n">
        <x:f>H82*'Basis'!$D$8</x:f>
        <x:v>63.6169742234111</x:v>
      </x:c>
      <x:c r="J82" s="2" t="str">
        <x:v>salt</x:v>
      </x:c>
      <x:c r="K82" s="20" t="n">
        <x:v>0.3</x:v>
      </x:c>
      <x:c r="L82" s="11" t="str">
        <x:v>Common local mixture.</x:v>
      </x:c>
    </x:row>
    <x:row r="83" ht="38" customHeight="1">
      <x:c r="C83" s="2" t="str">
        <x:v>salt</x:v>
      </x:c>
      <x:c r="D83" s="11" t="str">
        <x:v>Salt, oils and spices</x:v>
      </x:c>
      <x:c r="E83" s="11" t="str">
        <x:v>Salt</x:v>
      </x:c>
      <x:c r="F83" s="11" t="str">
        <x:v>stone (14 lb)</x:v>
      </x:c>
      <x:c r="G83" s="51" t="n">
        <x:f>'Basis'!$F$95*K83</x:f>
        <x:v>0.018032022172168677</x:v>
      </x:c>
      <x:c r="H83" s="52" t="n">
        <x:f>G83*'Basis'!$D$7</x:f>
        <x:v>3.786724656155422</x:v>
      </x:c>
      <x:c r="I83" s="52" t="n">
        <x:f>H83*'Basis'!$D$8</x:f>
        <x:v>212.05658074470364</x:v>
      </x:c>
      <x:c r="J83" s="2" t="str">
        <x:v>salt</x:v>
      </x:c>
      <x:c r="K83" s="20" t="n">
        <x:v>1</x:v>
      </x:c>
      <x:c r="L83" s="11" t="str">
        <x:v>Bulk food-grade salt; fiscal-model anchor.</x:v>
      </x:c>
    </x:row>
    <x:row r="84" ht="38" customHeight="1">
      <x:c r="C84" s="2" t="str">
        <x:v>honey</x:v>
      </x:c>
      <x:c r="D84" s="11" t="str">
        <x:v>Salt, oils and spices</x:v>
      </x:c>
      <x:c r="E84" s="11" t="str">
        <x:v>Honey</x:v>
      </x:c>
      <x:c r="F84" s="11" t="str">
        <x:v>lb</x:v>
      </x:c>
      <x:c r="G84" s="51" t="n">
        <x:f>'Basis'!$F$95*K84</x:f>
        <x:v>0.00504896620820723</x:v>
      </x:c>
      <x:c r="H84" s="52" t="n">
        <x:f>G84*'Basis'!$D$7</x:f>
        <x:v>1.0602829037235184</x:v>
      </x:c>
      <x:c r="I84" s="52" t="n">
        <x:f>H84*'Basis'!$D$8</x:f>
        <x:v>59.37584260851703</x:v>
      </x:c>
      <x:c r="J84" s="2" t="str">
        <x:v>salt</x:v>
      </x:c>
      <x:c r="K84" s="20" t="n">
        <x:v>0.28</x:v>
      </x:c>
      <x:c r="L84" s="11" t="str">
        <x:v>Strained local honey.</x:v>
      </x:c>
    </x:row>
    <x:row r="85" ht="38" customHeight="1">
      <x:c r="C85" s="2" t="str">
        <x:v>vinegar</x:v>
      </x:c>
      <x:c r="D85" s="11" t="str">
        <x:v>Salt, oils and spices</x:v>
      </x:c>
      <x:c r="E85" s="11" t="str">
        <x:v>Vinegar</x:v>
      </x:c>
      <x:c r="F85" s="11" t="str">
        <x:v>gallon</x:v>
      </x:c>
      <x:c r="G85" s="51" t="n">
        <x:f>'Basis'!$F$95*K85</x:f>
        <x:v>0.0036064044344337356</x:v>
      </x:c>
      <x:c r="H85" s="52" t="n">
        <x:f>G85*'Basis'!$D$7</x:f>
        <x:v>0.7573449312310845</x:v>
      </x:c>
      <x:c r="I85" s="52" t="n">
        <x:f>H85*'Basis'!$D$8</x:f>
        <x:v>42.41131614894073</x:v>
      </x:c>
      <x:c r="J85" s="2" t="str">
        <x:v>salt</x:v>
      </x:c>
      <x:c r="K85" s="20" t="n">
        <x:v>0.2</x:v>
      </x:c>
      <x:c r="L85" s="11" t="str">
        <x:v>Bulk cooking vinegar.</x:v>
      </x:c>
    </x:row>
    <x:row r="86" ht="38" customHeight="1">
      <x:c r="C86" s="2" t="str">
        <x:v>mustard</x:v>
      </x:c>
      <x:c r="D86" s="11" t="str">
        <x:v>Salt, oils and spices</x:v>
      </x:c>
      <x:c r="E86" s="11" t="str">
        <x:v>Mustard seed</x:v>
      </x:c>
      <x:c r="F86" s="11" t="str">
        <x:v>lb</x:v>
      </x:c>
      <x:c r="G86" s="51" t="n">
        <x:f>'Basis'!$F$95*K86</x:f>
        <x:v>0.005409606651650603</x:v>
      </x:c>
      <x:c r="H86" s="52" t="n">
        <x:f>G86*'Basis'!$D$7</x:f>
        <x:v>1.1360173968466267</x:v>
      </x:c>
      <x:c r="I86" s="52" t="n">
        <x:f>H86*'Basis'!$D$8</x:f>
        <x:v>63.6169742234111</x:v>
      </x:c>
      <x:c r="J86" s="2" t="str">
        <x:v>salt</x:v>
      </x:c>
      <x:c r="K86" s="20" t="n">
        <x:v>0.3</x:v>
      </x:c>
      <x:c r="L86" s="11" t="str">
        <x:v>Dry seed.</x:v>
      </x:c>
    </x:row>
    <x:row r="87" ht="38" customHeight="1">
      <x:c r="C87" s="2" t="str">
        <x:v>herb</x:v>
      </x:c>
      <x:c r="D87" s="11" t="str">
        <x:v>Salt, oils and spices</x:v>
      </x:c>
      <x:c r="E87" s="11" t="str">
        <x:v>Common culinary herbs</x:v>
      </x:c>
      <x:c r="F87" s="11" t="str">
        <x:v>lb dry</x:v>
      </x:c>
      <x:c r="G87" s="51" t="n">
        <x:f>'Basis'!$F$95*K87</x:f>
        <x:v>0.004508005543042169</x:v>
      </x:c>
      <x:c r="H87" s="52" t="n">
        <x:f>G87*'Basis'!$D$7</x:f>
        <x:v>0.9466811640388555</x:v>
      </x:c>
      <x:c r="I87" s="52" t="n">
        <x:f>H87*'Basis'!$D$8</x:f>
        <x:v>53.01414518617591</x:v>
      </x:c>
      <x:c r="J87" s="2" t="str">
        <x:v>salt</x:v>
      </x:c>
      <x:c r="K87" s="20" t="n">
        <x:v>0.25</x:v>
      </x:c>
      <x:c r="L87" s="11" t="str">
        <x:v>Local dried herbs.</x:v>
      </x:c>
    </x:row>
    <x:row r="88" ht="38" customHeight="1">
      <x:c r="C88" s="2" t="str">
        <x:v>pepper</x:v>
      </x:c>
      <x:c r="D88" s="11" t="str">
        <x:v>Salt, oils and spices</x:v>
      </x:c>
      <x:c r="E88" s="11" t="str">
        <x:v>Black pepper</x:v>
      </x:c>
      <x:c r="F88" s="11" t="str">
        <x:v>lb</x:v>
      </x:c>
      <x:c r="G88" s="51" t="n">
        <x:f>'Basis'!$F$95*K88</x:f>
        <x:v>0.12622415520518074</x:v>
      </x:c>
      <x:c r="H88" s="52" t="n">
        <x:f>G88*'Basis'!$D$7</x:f>
        <x:v>26.507072593087955</x:v>
      </x:c>
      <x:c r="I88" s="52" t="n">
        <x:f>H88*'Basis'!$D$8</x:f>
        <x:v>1484.3960652129254</x:v>
      </x:c>
      <x:c r="J88" s="2" t="str">
        <x:v>salt</x:v>
      </x:c>
      <x:c r="K88" s="20" t="n">
        <x:v>7</x:v>
      </x:c>
      <x:c r="L88" s="11" t="str">
        <x:v>Landed import, ordinary quality.</x:v>
      </x:c>
    </x:row>
    <x:row r="89" ht="38" customHeight="1">
      <x:c r="C89" s="2" t="str">
        <x:v>cinnamon</x:v>
      </x:c>
      <x:c r="D89" s="11" t="str">
        <x:v>Salt, oils and spices</x:v>
      </x:c>
      <x:c r="E89" s="11" t="str">
        <x:v>Cinnamon</x:v>
      </x:c>
      <x:c r="F89" s="11" t="str">
        <x:v>lb</x:v>
      </x:c>
      <x:c r="G89" s="51" t="n">
        <x:f>'Basis'!$F$95*K89</x:f>
        <x:v>0.18032022172168677</x:v>
      </x:c>
      <x:c r="H89" s="52" t="n">
        <x:f>G89*'Basis'!$D$7</x:f>
        <x:v>37.86724656155422</x:v>
      </x:c>
      <x:c r="I89" s="52" t="n">
        <x:f>H89*'Basis'!$D$8</x:f>
        <x:v>2120.565807447036</x:v>
      </x:c>
      <x:c r="J89" s="2" t="str">
        <x:v>salt</x:v>
      </x:c>
      <x:c r="K89" s="20" t="n">
        <x:v>10</x:v>
      </x:c>
      <x:c r="L89" s="11" t="str">
        <x:v>Landed import.</x:v>
      </x:c>
    </x:row>
    <x:row r="90" ht="38" customHeight="1">
      <x:c r="C90" s="2" t="str">
        <x:v>clove</x:v>
      </x:c>
      <x:c r="D90" s="11" t="str">
        <x:v>Salt, oils and spices</x:v>
      </x:c>
      <x:c r="E90" s="11" t="str">
        <x:v>Cloves</x:v>
      </x:c>
      <x:c r="F90" s="11" t="str">
        <x:v>lb</x:v>
      </x:c>
      <x:c r="G90" s="51" t="n">
        <x:f>'Basis'!$F$95*K90</x:f>
        <x:v>0.21638426606602412</x:v>
      </x:c>
      <x:c r="H90" s="52" t="n">
        <x:f>G90*'Basis'!$D$7</x:f>
        <x:v>45.44069587386507</x:v>
      </x:c>
      <x:c r="I90" s="52" t="n">
        <x:f>H90*'Basis'!$D$8</x:f>
        <x:v>2544.6789689364437</x:v>
      </x:c>
      <x:c r="J90" s="2" t="str">
        <x:v>salt</x:v>
      </x:c>
      <x:c r="K90" s="20" t="n">
        <x:v>12</x:v>
      </x:c>
      <x:c r="L90" s="11" t="str">
        <x:v>Landed import.</x:v>
      </x:c>
    </x:row>
    <x:row r="91" ht="38" customHeight="1">
      <x:c r="C91" s="2" t="str">
        <x:v>ginger</x:v>
      </x:c>
      <x:c r="D91" s="11" t="str">
        <x:v>Salt, oils and spices</x:v>
      </x:c>
      <x:c r="E91" s="11" t="str">
        <x:v>Dried ginger</x:v>
      </x:c>
      <x:c r="F91" s="11" t="str">
        <x:v>lb</x:v>
      </x:c>
      <x:c r="G91" s="51" t="n">
        <x:f>'Basis'!$F$95*K91</x:f>
        <x:v>0.10819213303301206</x:v>
      </x:c>
      <x:c r="H91" s="52" t="n">
        <x:f>G91*'Basis'!$D$7</x:f>
        <x:v>22.720347936932534</x:v>
      </x:c>
      <x:c r="I91" s="52" t="n">
        <x:f>H91*'Basis'!$D$8</x:f>
        <x:v>1272.3394844682218</x:v>
      </x:c>
      <x:c r="J91" s="2" t="str">
        <x:v>salt</x:v>
      </x:c>
      <x:c r="K91" s="20" t="n">
        <x:v>6</x:v>
      </x:c>
      <x:c r="L91" s="11" t="str">
        <x:v>Landed import.</x:v>
      </x:c>
    </x:row>
    <x:row r="92" ht="38" customHeight="1">
      <x:c r="C92" s="2" t="str">
        <x:v>saffron</x:v>
      </x:c>
      <x:c r="D92" s="11" t="str">
        <x:v>Salt, oils and spices</x:v>
      </x:c>
      <x:c r="E92" s="11" t="str">
        <x:v>Saffron</x:v>
      </x:c>
      <x:c r="F92" s="11" t="str">
        <x:v>ounce</x:v>
      </x:c>
      <x:c r="G92" s="51" t="n">
        <x:f>'Basis'!$F$95*K92</x:f>
        <x:v>0.2704803325825301</x:v>
      </x:c>
      <x:c r="H92" s="52" t="n">
        <x:f>G92*'Basis'!$D$7</x:f>
        <x:v>56.80086984233132</x:v>
      </x:c>
      <x:c r="I92" s="52" t="n">
        <x:f>H92*'Basis'!$D$8</x:f>
        <x:v>3180.848711170554</x:v>
      </x:c>
      <x:c r="J92" s="2" t="str">
        <x:v>salt</x:v>
      </x:c>
      <x:c r="K92" s="20" t="n">
        <x:v>15</x:v>
      </x:c>
      <x:c r="L92" s="11" t="str">
        <x:v>Small premium lot.</x:v>
      </x:c>
    </x:row>
    <x:row r="93" ht="38" customHeight="1">
      <x:c r="C93" s="2" t="str">
        <x:v>sugar</x:v>
      </x:c>
      <x:c r="D93" s="11" t="str">
        <x:v>Salt, oils and spices</x:v>
      </x:c>
      <x:c r="E93" s="11" t="str">
        <x:v>Cane sugar</x:v>
      </x:c>
      <x:c r="F93" s="11" t="str">
        <x:v>lb</x:v>
      </x:c>
      <x:c r="G93" s="51" t="n">
        <x:f>'Basis'!$F$95*K93</x:f>
        <x:v>0.07212808868867471</x:v>
      </x:c>
      <x:c r="H93" s="52" t="n">
        <x:f>G93*'Basis'!$D$7</x:f>
        <x:v>15.146898624621688</x:v>
      </x:c>
      <x:c r="I93" s="52" t="n">
        <x:f>H93*'Basis'!$D$8</x:f>
        <x:v>848.2263229788146</x:v>
      </x:c>
      <x:c r="J93" s="2" t="str">
        <x:v>salt</x:v>
      </x:c>
      <x:c r="K93" s="20" t="n">
        <x:v>4</x:v>
      </x:c>
      <x:c r="L93" s="11" t="str">
        <x:v>Landed import.</x:v>
      </x:c>
    </x:row>
    <x:row r="94" ht="38" customHeight="1">
      <x:c r="C94" s="2" t="str">
        <x:v>olive_oil</x:v>
      </x:c>
      <x:c r="D94" s="11" t="str">
        <x:v>Salt, oils and spices</x:v>
      </x:c>
      <x:c r="E94" s="11" t="str">
        <x:v>Olive oil</x:v>
      </x:c>
      <x:c r="F94" s="11" t="str">
        <x:v>gallon</x:v>
      </x:c>
      <x:c r="G94" s="51" t="n">
        <x:f>'Basis'!$F$95*K94</x:f>
        <x:v>0.036064044344337354</x:v>
      </x:c>
      <x:c r="H94" s="52" t="n">
        <x:f>G94*'Basis'!$D$7</x:f>
        <x:v>7.573449312310844</x:v>
      </x:c>
      <x:c r="I94" s="52" t="n">
        <x:f>H94*'Basis'!$D$8</x:f>
        <x:v>424.1131614894073</x:v>
      </x:c>
      <x:c r="J94" s="2" t="str">
        <x:v>salt</x:v>
      </x:c>
      <x:c r="K94" s="20" t="n">
        <x:v>2</x:v>
      </x:c>
      <x:c r="L94" s="11" t="str">
        <x:v>Landed import, cooking grade.</x:v>
      </x:c>
    </x:row>
    <x:row r="95" ht="38" customHeight="1">
      <x:c r="C95" s="2" t="str">
        <x:v>lamp_oil</x:v>
      </x:c>
      <x:c r="D95" s="11" t="str">
        <x:v>Salt, oils and spices</x:v>
      </x:c>
      <x:c r="E95" s="11" t="str">
        <x:v>Fish or whale lamp oil</x:v>
      </x:c>
      <x:c r="F95" s="11" t="str">
        <x:v>gallon</x:v>
      </x:c>
      <x:c r="G95" s="51" t="n">
        <x:f>'Basis'!$F$95*K95</x:f>
        <x:v>0.01172081441190964</x:v>
      </x:c>
      <x:c r="H95" s="52" t="n">
        <x:f>G95*'Basis'!$D$7</x:f>
        <x:v>2.4613710265010242</x:v>
      </x:c>
      <x:c r="I95" s="52" t="n">
        <x:f>H95*'Basis'!$D$8</x:f>
        <x:v>137.83677748405736</x:v>
      </x:c>
      <x:c r="J95" s="2" t="str">
        <x:v>salt</x:v>
      </x:c>
      <x:c r="K95" s="20" t="n">
        <x:v>0.65</x:v>
      </x:c>
      <x:c r="L95" s="11" t="str">
        <x:v>Ordinary lighting fuel.</x:v>
      </x:c>
    </x:row>
    <x:row r="96" ht="38" customHeight="1">
      <x:c r="C96" s="2" t="str">
        <x:v>linseed_oil</x:v>
      </x:c>
      <x:c r="D96" s="11" t="str">
        <x:v>Salt, oils and spices</x:v>
      </x:c>
      <x:c r="E96" s="11" t="str">
        <x:v>Linseed oil</x:v>
      </x:c>
      <x:c r="F96" s="11" t="str">
        <x:v>gallon</x:v>
      </x:c>
      <x:c r="G96" s="51" t="n">
        <x:f>'Basis'!$F$95*K96</x:f>
        <x:v>0.01622881995495181</x:v>
      </x:c>
      <x:c r="H96" s="52" t="n">
        <x:f>G96*'Basis'!$D$7</x:f>
        <x:v>3.4080521905398804</x:v>
      </x:c>
      <x:c r="I96" s="52" t="n">
        <x:f>H96*'Basis'!$D$8</x:f>
        <x:v>190.8509226702333</x:v>
      </x:c>
      <x:c r="J96" s="2" t="str">
        <x:v>salt</x:v>
      </x:c>
      <x:c r="K96" s="20" t="n">
        <x:v>0.9</x:v>
      </x:c>
      <x:c r="L96" s="11" t="str">
        <x:v>Workshop oil.</x:v>
      </x:c>
    </x:row>
    <x:row r="97" ht="38" customHeight="1">
      <x:c r="C97" s="2" t="str">
        <x:v>beeswax</x:v>
      </x:c>
      <x:c r="D97" s="11" t="str">
        <x:v>Salt, oils and spices</x:v>
      </x:c>
      <x:c r="E97" s="11" t="str">
        <x:v>Beeswax</x:v>
      </x:c>
      <x:c r="F97" s="11" t="str">
        <x:v>lb</x:v>
      </x:c>
      <x:c r="G97" s="51" t="n">
        <x:f>'Basis'!$F$95*K97</x:f>
        <x:v>0.012622415520518073</x:v>
      </x:c>
      <x:c r="H97" s="52" t="n">
        <x:f>G97*'Basis'!$D$7</x:f>
        <x:v>2.6507072593087955</x:v>
      </x:c>
      <x:c r="I97" s="52" t="n">
        <x:f>H97*'Basis'!$D$8</x:f>
        <x:v>148.43960652129255</x:v>
      </x:c>
      <x:c r="J97" s="2" t="str">
        <x:v>salt</x:v>
      </x:c>
      <x:c r="K97" s="20" t="n">
        <x:v>0.7</x:v>
      </x:c>
      <x:c r="L97" s="11" t="str">
        <x:v>Clean wax.</x:v>
      </x:c>
    </x:row>
    <x:row r="98" ht="38" customHeight="1">
      <x:c r="C98" s="2" t="str">
        <x:v>ox</x:v>
      </x:c>
      <x:c r="D98" s="11" t="str">
        <x:v>Livestock and fodder</x:v>
      </x:c>
      <x:c r="E98" s="11" t="str">
        <x:v>Working ox</x:v>
      </x:c>
      <x:c r="F98" s="11" t="str">
        <x:v>head</x:v>
      </x:c>
      <x:c r="G98" s="51" t="n">
        <x:f>'Basis'!$F$72*K98</x:f>
        <x:v>0.9466811640388554</x:v>
      </x:c>
      <x:c r="H98" s="52" t="n">
        <x:f>G98*'Basis'!$D$7</x:f>
        <x:v>198.80304444815962</x:v>
      </x:c>
      <x:c r="I98" s="52" t="n">
        <x:f>H98*'Basis'!$D$8</x:f>
        <x:v>11132.970489096939</x:v>
      </x:c>
      <x:c r="J98" s="2" t="str">
        <x:v>ox</x:v>
      </x:c>
      <x:c r="K98" s="20" t="n">
        <x:v>1</x:v>
      </x:c>
      <x:c r="L98" s="11" t="str">
        <x:v>Trained healthy mature animal; fiscal anchor.</x:v>
      </x:c>
    </x:row>
    <x:row r="99" ht="38" customHeight="1">
      <x:c r="C99" s="2" t="str">
        <x:v>ox_pair</x:v>
      </x:c>
      <x:c r="D99" s="11" t="str">
        <x:v>Livestock and fodder</x:v>
      </x:c>
      <x:c r="E99" s="11" t="str">
        <x:v>Matched working oxen</x:v>
      </x:c>
      <x:c r="F99" s="11" t="str">
        <x:v>pair</x:v>
      </x:c>
      <x:c r="G99" s="51" t="n">
        <x:f>'Basis'!$F$72*K99</x:f>
        <x:v>1.9880304444815964</x:v>
      </x:c>
      <x:c r="H99" s="52" t="n">
        <x:f>G99*'Basis'!$D$7</x:f>
        <x:v>417.4863933411352</x:v>
      </x:c>
      <x:c r="I99" s="52" t="n">
        <x:f>H99*'Basis'!$D$8</x:f>
        <x:v>23379.238027103573</x:v>
      </x:c>
      <x:c r="J99" s="2" t="str">
        <x:v>ox</x:v>
      </x:c>
      <x:c r="K99" s="20" t="n">
        <x:v>2.1</x:v>
      </x:c>
      <x:c r="L99" s="11" t="str">
        <x:v>Pair, already accustomed to one yoke.</x:v>
      </x:c>
    </x:row>
    <x:row r="100" ht="38" customHeight="1">
      <x:c r="C100" s="2" t="str">
        <x:v>cattle</x:v>
      </x:c>
      <x:c r="D100" s="11" t="str">
        <x:v>Livestock and fodder</x:v>
      </x:c>
      <x:c r="E100" s="11" t="str">
        <x:v>Slaughter beast</x:v>
      </x:c>
      <x:c r="F100" s="11" t="str">
        <x:v>head</x:v>
      </x:c>
      <x:c r="G100" s="51" t="n">
        <x:f>'Basis'!$F$97*K100</x:f>
        <x:v>1.3253536296543975</x:v>
      </x:c>
      <x:c r="H100" s="52" t="n">
        <x:f>G100*'Basis'!$D$7</x:f>
        <x:v>278.3242622274235</x:v>
      </x:c>
      <x:c r="I100" s="52" t="n">
        <x:f>H100*'Basis'!$D$8</x:f>
        <x:v>15586.158684735716</x:v>
      </x:c>
      <x:c r="J100" s="2" t="str">
        <x:v>cattle</x:v>
      </x:c>
      <x:c r="K100" s="20" t="n">
        <x:v>1</x:v>
      </x:c>
      <x:c r="L100" s="11" t="str">
        <x:v>Mature market beast; fiscal anchor.</x:v>
      </x:c>
    </x:row>
    <x:row r="101" ht="38" customHeight="1">
      <x:c r="C101" s="2" t="str">
        <x:v>milk_cow</x:v>
      </x:c>
      <x:c r="D101" s="11" t="str">
        <x:v>Livestock and fodder</x:v>
      </x:c>
      <x:c r="E101" s="11" t="str">
        <x:v>Milk cow</x:v>
      </x:c>
      <x:c r="F101" s="11" t="str">
        <x:v>head</x:v>
      </x:c>
      <x:c r="G101" s="51" t="n">
        <x:f>'Basis'!$F$97*K101</x:f>
        <x:v>1.656692037067997</x:v>
      </x:c>
      <x:c r="H101" s="52" t="n">
        <x:f>G101*'Basis'!$D$7</x:f>
        <x:v>347.90532778427934</x:v>
      </x:c>
      <x:c r="I101" s="52" t="n">
        <x:f>H101*'Basis'!$D$8</x:f>
        <x:v>19482.69835591964</x:v>
      </x:c>
      <x:c r="J101" s="2" t="str">
        <x:v>cattle</x:v>
      </x:c>
      <x:c r="K101" s="20" t="n">
        <x:v>1.25</x:v>
      </x:c>
      <x:c r="L101" s="11" t="str">
        <x:v>Sound cow in milk; no exceptional pedigree.</x:v>
      </x:c>
    </x:row>
    <x:row r="102" ht="38" customHeight="1">
      <x:c r="C102" s="2" t="str">
        <x:v>calf</x:v>
      </x:c>
      <x:c r="D102" s="11" t="str">
        <x:v>Livestock and fodder</x:v>
      </x:c>
      <x:c r="E102" s="11" t="str">
        <x:v>Weaned calf</x:v>
      </x:c>
      <x:c r="F102" s="11" t="str">
        <x:v>head</x:v>
      </x:c>
      <x:c r="G102" s="51" t="n">
        <x:f>'Basis'!$F$97*K102</x:f>
        <x:v>0.39760608889631927</x:v>
      </x:c>
      <x:c r="H102" s="52" t="n">
        <x:f>G102*'Basis'!$D$7</x:f>
        <x:v>83.49727866822704</x:v>
      </x:c>
      <x:c r="I102" s="52" t="n">
        <x:f>H102*'Basis'!$D$8</x:f>
        <x:v>4675.847605420714</x:v>
      </x:c>
      <x:c r="J102" s="2" t="str">
        <x:v>cattle</x:v>
      </x:c>
      <x:c r="K102" s="20" t="n">
        <x:v>0.3</x:v>
      </x:c>
      <x:c r="L102" s="11" t="str">
        <x:v>Healthy young stock.</x:v>
      </x:c>
    </x:row>
    <x:row r="103" ht="38" customHeight="1">
      <x:c r="C103" s="2" t="str">
        <x:v>bull</x:v>
      </x:c>
      <x:c r="D103" s="11" t="str">
        <x:v>Livestock and fodder</x:v>
      </x:c>
      <x:c r="E103" s="11" t="str">
        <x:v>Breeding bull</x:v>
      </x:c>
      <x:c r="F103" s="11" t="str">
        <x:v>head</x:v>
      </x:c>
      <x:c r="G103" s="51" t="n">
        <x:f>'Basis'!$F$97*K103</x:f>
        <x:v>2.3856365333779155</x:v>
      </x:c>
      <x:c r="H103" s="52" t="n">
        <x:f>G103*'Basis'!$D$7</x:f>
        <x:v>500.98367200936224</x:v>
      </x:c>
      <x:c r="I103" s="52" t="n">
        <x:f>H103*'Basis'!$D$8</x:f>
        <x:v>28055.085632524286</x:v>
      </x:c>
      <x:c r="J103" s="2" t="str">
        <x:v>cattle</x:v>
      </x:c>
      <x:c r="K103" s="20" t="n">
        <x:v>1.8</x:v>
      </x:c>
      <x:c r="L103" s="11" t="str">
        <x:v>Sound ordinary breeding animal.</x:v>
      </x:c>
    </x:row>
    <x:row r="104" ht="38" customHeight="1">
      <x:c r="C104" s="2" t="str">
        <x:v>sheep</x:v>
      </x:c>
      <x:c r="D104" s="11" t="str">
        <x:v>Livestock and fodder</x:v>
      </x:c>
      <x:c r="E104" s="11" t="str">
        <x:v>Breeding sheep</x:v>
      </x:c>
      <x:c r="F104" s="11" t="str">
        <x:v>head</x:v>
      </x:c>
      <x:c r="G104" s="51" t="n">
        <x:f>'Basis'!$F$73*K104</x:f>
        <x:v>0.3155603880129518</x:v>
      </x:c>
      <x:c r="H104" s="52" t="n">
        <x:f>G104*'Basis'!$D$7</x:f>
        <x:v>66.26768148271988</x:v>
      </x:c>
      <x:c r="I104" s="52" t="n">
        <x:f>H104*'Basis'!$D$8</x:f>
        <x:v>3710.9901630323134</x:v>
      </x:c>
      <x:c r="J104" s="2" t="str">
        <x:v>sheep</x:v>
      </x:c>
      <x:c r="K104" s="20" t="n">
        <x:v>1</x:v>
      </x:c>
      <x:c r="L104" s="11" t="str">
        <x:v>Fiscal-model breeding-quality animal.</x:v>
      </x:c>
    </x:row>
    <x:row r="105" ht="38" customHeight="1">
      <x:c r="C105" s="2" t="str">
        <x:v>cull_sheep</x:v>
      </x:c>
      <x:c r="D105" s="11" t="str">
        <x:v>Livestock and fodder</x:v>
      </x:c>
      <x:c r="E105" s="11" t="str">
        <x:v>Cull sheep</x:v>
      </x:c>
      <x:c r="F105" s="11" t="str">
        <x:v>head</x:v>
      </x:c>
      <x:c r="G105" s="51" t="n">
        <x:f>'Basis'!$F$73*K105</x:f>
        <x:v>0.20511425220841867</x:v>
      </x:c>
      <x:c r="H105" s="52" t="n">
        <x:f>G105*'Basis'!$D$7</x:f>
        <x:v>43.07399296376792</x:v>
      </x:c>
      <x:c r="I105" s="52" t="n">
        <x:f>H105*'Basis'!$D$8</x:f>
        <x:v>2412.1436059710036</x:v>
      </x:c>
      <x:c r="J105" s="2" t="str">
        <x:v>sheep</x:v>
      </x:c>
      <x:c r="K105" s="20" t="n">
        <x:v>0.65</x:v>
      </x:c>
      <x:c r="L105" s="11" t="str">
        <x:v>Meat animal; not breeding quality.</x:v>
      </x:c>
    </x:row>
    <x:row r="106" ht="38" customHeight="1">
      <x:c r="C106" s="2" t="str">
        <x:v>lamb</x:v>
      </x:c>
      <x:c r="D106" s="11" t="str">
        <x:v>Livestock and fodder</x:v>
      </x:c>
      <x:c r="E106" s="11" t="str">
        <x:v>Weaned lamb</x:v>
      </x:c>
      <x:c r="F106" s="11" t="str">
        <x:v>head</x:v>
      </x:c>
      <x:c r="G106" s="51" t="n">
        <x:f>'Basis'!$F$73*K106</x:f>
        <x:v>0.11044613580453311</x:v>
      </x:c>
      <x:c r="H106" s="52" t="n">
        <x:f>G106*'Basis'!$D$7</x:f>
        <x:v>23.19368851895195</x:v>
      </x:c>
      <x:c r="I106" s="52" t="n">
        <x:f>H106*'Basis'!$D$8</x:f>
        <x:v>1298.8465570613093</x:v>
      </x:c>
      <x:c r="J106" s="2" t="str">
        <x:v>sheep</x:v>
      </x:c>
      <x:c r="K106" s="20" t="n">
        <x:v>0.35</x:v>
      </x:c>
      <x:c r="L106" s="11" t="str">
        <x:v>Young stock.</x:v>
      </x:c>
    </x:row>
    <x:row r="107" ht="38" customHeight="1">
      <x:c r="C107" s="2" t="str">
        <x:v>goat</x:v>
      </x:c>
      <x:c r="D107" s="11" t="str">
        <x:v>Livestock and fodder</x:v>
      </x:c>
      <x:c r="E107" s="11" t="str">
        <x:v>Milk goat</x:v>
      </x:c>
      <x:c r="F107" s="11" t="str">
        <x:v>head</x:v>
      </x:c>
      <x:c r="G107" s="51" t="n">
        <x:f>'Basis'!$F$73*K107</x:f>
        <x:v>0.20511425220841867</x:v>
      </x:c>
      <x:c r="H107" s="52" t="n">
        <x:f>G107*'Basis'!$D$7</x:f>
        <x:v>43.07399296376792</x:v>
      </x:c>
      <x:c r="I107" s="52" t="n">
        <x:f>H107*'Basis'!$D$8</x:f>
        <x:v>2412.1436059710036</x:v>
      </x:c>
      <x:c r="J107" s="2" t="str">
        <x:v>sheep</x:v>
      </x:c>
      <x:c r="K107" s="20" t="n">
        <x:v>0.65</x:v>
      </x:c>
      <x:c r="L107" s="11" t="str">
        <x:v>Sound ordinary animal.</x:v>
      </x:c>
    </x:row>
    <x:row r="108" ht="38" customHeight="1">
      <x:c r="C108" s="2" t="str">
        <x:v>pig</x:v>
      </x:c>
      <x:c r="D108" s="11" t="str">
        <x:v>Livestock and fodder</x:v>
      </x:c>
      <x:c r="E108" s="11" t="str">
        <x:v>Market pig</x:v>
      </x:c>
      <x:c r="F108" s="11" t="str">
        <x:v>head</x:v>
      </x:c>
      <x:c r="G108" s="51" t="n">
        <x:f>'Basis'!$F$98*K108</x:f>
        <x:v>0.3786724656155422</x:v>
      </x:c>
      <x:c r="H108" s="52" t="n">
        <x:f>G108*'Basis'!$D$7</x:f>
        <x:v>79.52121777926386</x:v>
      </x:c>
      <x:c r="I108" s="52" t="n">
        <x:f>H108*'Basis'!$D$8</x:f>
        <x:v>4453.188195638776</x:v>
      </x:c>
      <x:c r="J108" s="2" t="str">
        <x:v>pig</x:v>
      </x:c>
      <x:c r="K108" s="20" t="n">
        <x:v>1</x:v>
      </x:c>
      <x:c r="L108" s="11" t="str">
        <x:v>Fiscal-model anchor.</x:v>
      </x:c>
    </x:row>
    <x:row r="109" ht="38" customHeight="1">
      <x:c r="C109" s="2" t="str">
        <x:v>sow</x:v>
      </x:c>
      <x:c r="D109" s="11" t="str">
        <x:v>Livestock and fodder</x:v>
      </x:c>
      <x:c r="E109" s="11" t="str">
        <x:v>Breeding sow</x:v>
      </x:c>
      <x:c r="F109" s="11" t="str">
        <x:v>head</x:v>
      </x:c>
      <x:c r="G109" s="51" t="n">
        <x:f>'Basis'!$F$98*K109</x:f>
        <x:v>0.6058759449848675</x:v>
      </x:c>
      <x:c r="H109" s="52" t="n">
        <x:f>G109*'Basis'!$D$7</x:f>
        <x:v>127.23394844682218</x:v>
      </x:c>
      <x:c r="I109" s="52" t="n">
        <x:f>H109*'Basis'!$D$8</x:f>
        <x:v>7125.101113022042</x:v>
      </x:c>
      <x:c r="J109" s="2" t="str">
        <x:v>pig</x:v>
      </x:c>
      <x:c r="K109" s="20" t="n">
        <x:v>1.6</x:v>
      </x:c>
      <x:c r="L109" s="11" t="str">
        <x:v>Sound ordinary breeding animal.</x:v>
      </x:c>
    </x:row>
    <x:row r="110" ht="38" customHeight="1">
      <x:c r="C110" s="2" t="str">
        <x:v>piglet</x:v>
      </x:c>
      <x:c r="D110" s="11" t="str">
        <x:v>Livestock and fodder</x:v>
      </x:c>
      <x:c r="E110" s="11" t="str">
        <x:v>Weaned piglet</x:v>
      </x:c>
      <x:c r="F110" s="11" t="str">
        <x:v>head</x:v>
      </x:c>
      <x:c r="G110" s="51" t="n">
        <x:f>'Basis'!$F$98*K110</x:f>
        <x:v>0.08330794243541928</x:v>
      </x:c>
      <x:c r="H110" s="52" t="n">
        <x:f>G110*'Basis'!$D$7</x:f>
        <x:v>17.49466791143805</x:v>
      </x:c>
      <x:c r="I110" s="52" t="n">
        <x:f>H110*'Basis'!$D$8</x:f>
        <x:v>979.7014030405307</x:v>
      </x:c>
      <x:c r="J110" s="2" t="str">
        <x:v>pig</x:v>
      </x:c>
      <x:c r="K110" s="20" t="n">
        <x:v>0.22</x:v>
      </x:c>
      <x:c r="L110" s="11" t="str">
        <x:v>Young stock.</x:v>
      </x:c>
    </x:row>
    <x:row r="111" ht="38" customHeight="1">
      <x:c r="C111" s="2" t="str">
        <x:v>hen</x:v>
      </x:c>
      <x:c r="D111" s="11" t="str">
        <x:v>Livestock and fodder</x:v>
      </x:c>
      <x:c r="E111" s="11" t="str">
        <x:v>Laying hen</x:v>
      </x:c>
      <x:c r="F111" s="11" t="str">
        <x:v>head</x:v>
      </x:c>
      <x:c r="G111" s="51" t="n">
        <x:f>'Basis'!$F$98*K111</x:f>
        <x:v>0.010602829037235181</x:v>
      </x:c>
      <x:c r="H111" s="52" t="n">
        <x:f>G111*'Basis'!$D$7</x:f>
        <x:v>2.226594097819388</x:v>
      </x:c>
      <x:c r="I111" s="52" t="n">
        <x:f>H111*'Basis'!$D$8</x:f>
        <x:v>124.68926947788573</x:v>
      </x:c>
      <x:c r="J111" s="2" t="str">
        <x:v>pig</x:v>
      </x:c>
      <x:c r="K111" s="20" t="n">
        <x:v>0.028</x:v>
      </x:c>
      <x:c r="L111" s="11" t="str">
        <x:v>Healthy adult bird.</x:v>
      </x:c>
    </x:row>
    <x:row r="112" ht="38" customHeight="1">
      <x:c r="C112" s="2" t="str">
        <x:v>duck</x:v>
      </x:c>
      <x:c r="D112" s="11" t="str">
        <x:v>Livestock and fodder</x:v>
      </x:c>
      <x:c r="E112" s="11" t="str">
        <x:v>Live duck</x:v>
      </x:c>
      <x:c r="F112" s="11" t="str">
        <x:v>head</x:v>
      </x:c>
      <x:c r="G112" s="51" t="n">
        <x:f>'Basis'!$F$98*K112</x:f>
        <x:v>0.01893362328077711</x:v>
      </x:c>
      <x:c r="H112" s="52" t="n">
        <x:f>G112*'Basis'!$D$7</x:f>
        <x:v>3.976060888963193</x:v>
      </x:c>
      <x:c r="I112" s="52" t="n">
        <x:f>H112*'Basis'!$D$8</x:f>
        <x:v>222.65940978193882</x:v>
      </x:c>
      <x:c r="J112" s="2" t="str">
        <x:v>pig</x:v>
      </x:c>
      <x:c r="K112" s="20" t="n">
        <x:v>0.05</x:v>
      </x:c>
      <x:c r="L112" s="11" t="str">
        <x:v>Healthy adult bird.</x:v>
      </x:c>
    </x:row>
    <x:row r="113" ht="38" customHeight="1">
      <x:c r="C113" s="2" t="str">
        <x:v>goose</x:v>
      </x:c>
      <x:c r="D113" s="11" t="str">
        <x:v>Livestock and fodder</x:v>
      </x:c>
      <x:c r="E113" s="11" t="str">
        <x:v>Live goose</x:v>
      </x:c>
      <x:c r="F113" s="11" t="str">
        <x:v>head</x:v>
      </x:c>
      <x:c r="G113" s="51" t="n">
        <x:f>'Basis'!$F$98*K113</x:f>
        <x:v>0.03218715957732109</x:v>
      </x:c>
      <x:c r="H113" s="52" t="n">
        <x:f>G113*'Basis'!$D$7</x:f>
        <x:v>6.7593035112374285</x:v>
      </x:c>
      <x:c r="I113" s="52" t="n">
        <x:f>H113*'Basis'!$D$8</x:f>
        <x:v>378.520996629296</x:v>
      </x:c>
      <x:c r="J113" s="2" t="str">
        <x:v>pig</x:v>
      </x:c>
      <x:c r="K113" s="20" t="n">
        <x:v>0.085</x:v>
      </x:c>
      <x:c r="L113" s="11" t="str">
        <x:v>Healthy adult bird.</x:v>
      </x:c>
    </x:row>
    <x:row r="114" ht="38" customHeight="1">
      <x:c r="C114" s="2" t="str">
        <x:v>draft_horse</x:v>
      </x:c>
      <x:c r="D114" s="11" t="str">
        <x:v>Livestock and fodder</x:v>
      </x:c>
      <x:c r="E114" s="11" t="str">
        <x:v>Draft horse</x:v>
      </x:c>
      <x:c r="F114" s="11" t="str">
        <x:v>head</x:v>
      </x:c>
      <x:c r="G114" s="51" t="n">
        <x:f>'Basis'!$F$87*K114</x:f>
        <x:v>2.414036968299081</x:v>
      </x:c>
      <x:c r="H114" s="52" t="n">
        <x:f>G114*'Basis'!$D$7</x:f>
        <x:v>506.94776334280704</x:v>
      </x:c>
      <x:c r="I114" s="52" t="n">
        <x:f>H114*'Basis'!$D$8</x:f>
        <x:v>28389.074747197195</x:v>
      </x:c>
      <x:c r="J114" s="2" t="str">
        <x:v>ridinghorse</x:v>
      </x:c>
      <x:c r="K114" s="20" t="n">
        <x:v>0.85</x:v>
      </x:c>
      <x:c r="L114" s="11" t="str">
        <x:v>Trained for cart or plough.</x:v>
      </x:c>
    </x:row>
    <x:row r="115" ht="38" customHeight="1">
      <x:c r="C115" s="2" t="str">
        <x:v>ridinghorse</x:v>
      </x:c>
      <x:c r="D115" s="11" t="str">
        <x:v>Livestock and fodder</x:v>
      </x:c>
      <x:c r="E115" s="11" t="str">
        <x:v>Riding horse</x:v>
      </x:c>
      <x:c r="F115" s="11" t="str">
        <x:v>head</x:v>
      </x:c>
      <x:c r="G115" s="51" t="n">
        <x:f>'Basis'!$F$87*K115</x:f>
        <x:v>2.8400434921165663</x:v>
      </x:c>
      <x:c r="H115" s="52" t="n">
        <x:f>G115*'Basis'!$D$7</x:f>
        <x:v>596.409133344479</x:v>
      </x:c>
      <x:c r="I115" s="52" t="n">
        <x:f>H115*'Basis'!$D$8</x:f>
        <x:v>33398.91146729082</x:v>
      </x:c>
      <x:c r="J115" s="2" t="str">
        <x:v>ridinghorse</x:v>
      </x:c>
      <x:c r="K115" s="20" t="n">
        <x:v>1</x:v>
      </x:c>
      <x:c r="L115" s="11" t="str">
        <x:v>Ordinary replacement; fiscal-model anchor.</x:v>
      </x:c>
    </x:row>
    <x:row r="116" ht="38" customHeight="1">
      <x:c r="C116" s="2" t="str">
        <x:v>pony</x:v>
      </x:c>
      <x:c r="D116" s="11" t="str">
        <x:v>Livestock and fodder</x:v>
      </x:c>
      <x:c r="E116" s="11" t="str">
        <x:v>Northern pony</x:v>
      </x:c>
      <x:c r="F116" s="11" t="str">
        <x:v>head</x:v>
      </x:c>
      <x:c r="G116" s="51" t="n">
        <x:f>'Basis'!$F$87*K116</x:f>
        <x:v>1.7040260952699398</x:v>
      </x:c>
      <x:c r="H116" s="52" t="n">
        <x:f>G116*'Basis'!$D$7</x:f>
        <x:v>357.84548000668735</x:v>
      </x:c>
      <x:c r="I116" s="52" t="n">
        <x:f>H116*'Basis'!$D$8</x:f>
        <x:v>20039.34688037449</x:v>
      </x:c>
      <x:c r="J116" s="2" t="str">
        <x:v>ridinghorse</x:v>
      </x:c>
      <x:c r="K116" s="20" t="n">
        <x:v>0.6</x:v>
      </x:c>
      <x:c r="L116" s="11" t="str">
        <x:v>Hardy ordinary working pony.</x:v>
      </x:c>
    </x:row>
    <x:row r="117" ht="38" customHeight="1">
      <x:c r="C117" s="2" t="str">
        <x:v>mule</x:v>
      </x:c>
      <x:c r="D117" s="11" t="str">
        <x:v>Livestock and fodder</x:v>
      </x:c>
      <x:c r="E117" s="11" t="str">
        <x:v>Pack mule</x:v>
      </x:c>
      <x:c r="F117" s="11" t="str">
        <x:v>head</x:v>
      </x:c>
      <x:c r="G117" s="51" t="n">
        <x:f>'Basis'!$F$87*K117</x:f>
        <x:v>1.9880304444815962</x:v>
      </x:c>
      <x:c r="H117" s="52" t="n">
        <x:f>G117*'Basis'!$D$7</x:f>
        <x:v>417.48639334113517</x:v>
      </x:c>
      <x:c r="I117" s="52" t="n">
        <x:f>H117*'Basis'!$D$8</x:f>
        <x:v>23379.23802710357</x:v>
      </x:c>
      <x:c r="J117" s="2" t="str">
        <x:v>ridinghorse</x:v>
      </x:c>
      <x:c r="K117" s="20" t="n">
        <x:v>0.7</x:v>
      </x:c>
      <x:c r="L117" s="11" t="str">
        <x:v>Trained pack animal.</x:v>
      </x:c>
    </x:row>
    <x:row r="118" ht="38" customHeight="1">
      <x:c r="C118" s="2" t="str">
        <x:v>courser</x:v>
      </x:c>
      <x:c r="D118" s="11" t="str">
        <x:v>Livestock and fodder</x:v>
      </x:c>
      <x:c r="E118" s="11" t="str">
        <x:v>War courser</x:v>
      </x:c>
      <x:c r="F118" s="11" t="str">
        <x:v>head</x:v>
      </x:c>
      <x:c r="G118" s="51" t="n">
        <x:f>'Basis'!$F$87*K118</x:f>
        <x:v>8.5201304763497</x:v>
      </x:c>
      <x:c r="H118" s="52" t="n">
        <x:f>G118*'Basis'!$D$7</x:f>
        <x:v>1789.2274000334369</x:v>
      </x:c>
      <x:c r="I118" s="52" t="n">
        <x:f>H118*'Basis'!$D$8</x:f>
        <x:v>100196.73440187247</x:v>
      </x:c>
      <x:c r="J118" s="2" t="str">
        <x:v>ridinghorse</x:v>
      </x:c>
      <x:c r="K118" s="20" t="n">
        <x:v>3</x:v>
      </x:c>
      <x:c r="L118" s="11" t="str">
        <x:v>Sound trained cavalry horse.</x:v>
      </x:c>
    </x:row>
    <x:row r="119" ht="38" customHeight="1">
      <x:c r="C119" s="2" t="str">
        <x:v>destrier</x:v>
      </x:c>
      <x:c r="D119" s="11" t="str">
        <x:v>Livestock and fodder</x:v>
      </x:c>
      <x:c r="E119" s="11" t="str">
        <x:v>Heavy warhorse</x:v>
      </x:c>
      <x:c r="F119" s="11" t="str">
        <x:v>head</x:v>
      </x:c>
      <x:c r="G119" s="51" t="n">
        <x:f>'Basis'!$F$87*K119</x:f>
        <x:v>19.880304444815962</x:v>
      </x:c>
      <x:c r="H119" s="52" t="n">
        <x:f>G119*'Basis'!$D$7</x:f>
        <x:v>4174.863933411352</x:v>
      </x:c>
      <x:c r="I119" s="52" t="n">
        <x:f>H119*'Basis'!$D$8</x:f>
        <x:v>233792.3802710357</x:v>
      </x:c>
      <x:c r="J119" s="2" t="str">
        <x:v>ridinghorse</x:v>
      </x:c>
      <x:c r="K119" s="20" t="n">
        <x:v>7</x:v>
      </x:c>
      <x:c r="L119" s="11" t="str">
        <x:v>Premium trained animal, not a unique champion.</x:v>
      </x:c>
    </x:row>
    <x:row r="120" ht="38" customHeight="1">
      <x:c r="C120" s="2" t="str">
        <x:v>hound</x:v>
      </x:c>
      <x:c r="D120" s="11" t="str">
        <x:v>Livestock and fodder</x:v>
      </x:c>
      <x:c r="E120" s="11" t="str">
        <x:v>Trained hunting hound</x:v>
      </x:c>
      <x:c r="F120" s="11" t="str">
        <x:v>head</x:v>
      </x:c>
      <x:c r="G120" s="51" t="n">
        <x:f>'Basis'!$F$87*K120</x:f>
        <x:v>0.9940152222407981</x:v>
      </x:c>
      <x:c r="H120" s="52" t="n">
        <x:f>G120*'Basis'!$D$7</x:f>
        <x:v>208.74319667056758</x:v>
      </x:c>
      <x:c r="I120" s="52" t="n">
        <x:f>H120*'Basis'!$D$8</x:f>
        <x:v>11689.619013551785</x:v>
      </x:c>
      <x:c r="J120" s="2" t="str">
        <x:v>ridinghorse</x:v>
      </x:c>
      <x:c r="K120" s="20" t="n">
        <x:v>0.35</x:v>
      </x:c>
      <x:c r="L120" s="11" t="str">
        <x:v>Ordinary trained adult.</x:v>
      </x:c>
    </x:row>
    <x:row r="121" ht="38" customHeight="1">
      <x:c r="C121" s="2" t="str">
        <x:v>hay</x:v>
      </x:c>
      <x:c r="D121" s="11" t="str">
        <x:v>Livestock and fodder</x:v>
      </x:c>
      <x:c r="E121" s="11" t="str">
        <x:v>Dry hay</x:v>
      </x:c>
      <x:c r="F121" s="11" t="str">
        <x:v>long ton (2,240 lb)</x:v>
      </x:c>
      <x:c r="G121" s="51" t="n">
        <x:f>'Basis'!$F$67*K121</x:f>
        <x:v>0.06762008314563253</x:v>
      </x:c>
      <x:c r="H121" s="52" t="n">
        <x:f>G121*'Basis'!$D$7</x:f>
        <x:v>14.20021746058283</x:v>
      </x:c>
      <x:c r="I121" s="52" t="n">
        <x:f>H121*'Basis'!$D$8</x:f>
        <x:v>795.2121777926385</x:v>
      </x:c>
      <x:c r="J121" s="2" t="str">
        <x:v>oats</x:v>
      </x:c>
      <x:c r="K121" s="20" t="n">
        <x:v>1.5</x:v>
      </x:c>
      <x:c r="L121" s="11" t="str">
        <x:v>Baled or stacked local hay; collection at farm.</x:v>
      </x:c>
    </x:row>
    <x:row r="122" ht="38" customHeight="1">
      <x:c r="C122" s="2" t="str">
        <x:v>straw</x:v>
      </x:c>
      <x:c r="D122" s="11" t="str">
        <x:v>Livestock and fodder</x:v>
      </x:c>
      <x:c r="E122" s="11" t="str">
        <x:v>Straw</x:v>
      </x:c>
      <x:c r="F122" s="11" t="str">
        <x:v>long ton (2,240 lb)</x:v>
      </x:c>
      <x:c r="G122" s="51" t="n">
        <x:f>'Basis'!$F$67*K122</x:f>
        <x:v>0.029302036029774096</x:v>
      </x:c>
      <x:c r="H122" s="52" t="n">
        <x:f>G122*'Basis'!$D$7</x:f>
        <x:v>6.15342756625256</x:v>
      </x:c>
      <x:c r="I122" s="52" t="n">
        <x:f>H122*'Basis'!$D$8</x:f>
        <x:v>344.59194371014337</x:v>
      </x:c>
      <x:c r="J122" s="2" t="str">
        <x:v>oats</x:v>
      </x:c>
      <x:c r="K122" s="20" t="n">
        <x:v>0.65</x:v>
      </x:c>
      <x:c r="L122" s="11" t="str">
        <x:v>Dry bedding straw; collection at farm.</x:v>
      </x:c>
    </x:row>
    <x:row r="123" ht="38" customHeight="1">
      <x:c r="C123" s="2" t="str">
        <x:v>pasture</x:v>
      </x:c>
      <x:c r="D123" s="11" t="str">
        <x:v>Livestock and fodder</x:v>
      </x:c>
      <x:c r="E123" s="11" t="str">
        <x:v>Seasonal horse grazing</x:v>
      </x:c>
      <x:c r="F123" s="11" t="str">
        <x:v>horse-month</x:v>
      </x:c>
      <x:c r="G123" s="51" t="n">
        <x:f>'Basis'!$F$67*K123</x:f>
        <x:v>0.005409606651650602</x:v>
      </x:c>
      <x:c r="H123" s="52" t="n">
        <x:f>G123*'Basis'!$D$7</x:f>
        <x:v>1.1360173968466265</x:v>
      </x:c>
      <x:c r="I123" s="52" t="n">
        <x:f>H123*'Basis'!$D$8</x:f>
        <x:v>63.616974223411084</x:v>
      </x:c>
      <x:c r="J123" s="2" t="str">
        <x:v>oats</x:v>
      </x:c>
      <x:c r="K123" s="20" t="n">
        <x:v>0.12</x:v>
      </x:c>
      <x:c r="L123" s="11" t="str">
        <x:v>Pasture fee only; no grain or groom.</x:v>
      </x:c>
    </x:row>
    <x:row r="124" ht="38" customHeight="1">
      <x:c r="C124" s="2" t="str">
        <x:v>wool</x:v>
      </x:c>
      <x:c r="D124" s="11" t="str">
        <x:v>Fibres, yarn and cloth</x:v>
      </x:c>
      <x:c r="E124" s="11" t="str">
        <x:v>Raw wool</x:v>
      </x:c>
      <x:c r="F124" s="11" t="str">
        <x:v>stone (14 lb)</x:v>
      </x:c>
      <x:c r="G124" s="51" t="n">
        <x:f>'Basis'!$F$96*K124</x:f>
        <x:v>0.05409606651650602</x:v>
      </x:c>
      <x:c r="H124" s="52" t="n">
        <x:f>G124*'Basis'!$D$7</x:f>
        <x:v>11.360173968466263</x:v>
      </x:c>
      <x:c r="I124" s="52" t="n">
        <x:f>H124*'Basis'!$D$8</x:f>
        <x:v>636.1697422341108</x:v>
      </x:c>
      <x:c r="J124" s="2" t="str">
        <x:v>wool</x:v>
      </x:c>
      <x:c r="K124" s="20" t="n">
        <x:v>1</x:v>
      </x:c>
      <x:c r="L124" s="11" t="str">
        <x:v>Greasy fleece; fiscal-model anchor.</x:v>
      </x:c>
    </x:row>
    <x:row r="125" ht="38" customHeight="1">
      <x:c r="C125" s="2" t="str">
        <x:v>washed_wool</x:v>
      </x:c>
      <x:c r="D125" s="11" t="str">
        <x:v>Fibres, yarn and cloth</x:v>
      </x:c>
      <x:c r="E125" s="11" t="str">
        <x:v>Washed wool</x:v>
      </x:c>
      <x:c r="F125" s="11" t="str">
        <x:v>stone (14 lb)</x:v>
      </x:c>
      <x:c r="G125" s="51" t="n">
        <x:f>'Basis'!$F$96*K125</x:f>
        <x:v>0.09737291972971084</x:v>
      </x:c>
      <x:c r="H125" s="52" t="n">
        <x:f>G125*'Basis'!$D$7</x:f>
        <x:v>20.448313143239275</x:v>
      </x:c>
      <x:c r="I125" s="52" t="n">
        <x:f>H125*'Basis'!$D$8</x:f>
        <x:v>1145.1055360213995</x:v>
      </x:c>
      <x:c r="J125" s="2" t="str">
        <x:v>wool</x:v>
      </x:c>
      <x:c r="K125" s="20" t="n">
        <x:v>1.8</x:v>
      </x:c>
      <x:c r="L125" s="11" t="str">
        <x:v>Finished clean weight.</x:v>
      </x:c>
    </x:row>
    <x:row r="126" ht="38" customHeight="1">
      <x:c r="C126" s="2" t="str">
        <x:v>wool_yarn</x:v>
      </x:c>
      <x:c r="D126" s="11" t="str">
        <x:v>Fibres, yarn and cloth</x:v>
      </x:c>
      <x:c r="E126" s="11" t="str">
        <x:v>Wool yarn</x:v>
      </x:c>
      <x:c r="F126" s="11" t="str">
        <x:v>lb</x:v>
      </x:c>
      <x:c r="G126" s="51" t="n">
        <x:f>'Basis'!$F$96*K126</x:f>
        <x:v>0.013524016629126504</x:v>
      </x:c>
      <x:c r="H126" s="52" t="n">
        <x:f>G126*'Basis'!$D$7</x:f>
        <x:v>2.840043492116566</x:v>
      </x:c>
      <x:c r="I126" s="52" t="n">
        <x:f>H126*'Basis'!$D$8</x:f>
        <x:v>159.0424355585277</x:v>
      </x:c>
      <x:c r="J126" s="2" t="str">
        <x:v>wool</x:v>
      </x:c>
      <x:c r="K126" s="20" t="n">
        <x:v>0.25</x:v>
      </x:c>
      <x:c r="L126" s="11" t="str">
        <x:v>Ordinary spun yarn.</x:v>
      </x:c>
    </x:row>
    <x:row r="127" ht="38" customHeight="1">
      <x:c r="C127" s="2" t="str">
        <x:v>flax</x:v>
      </x:c>
      <x:c r="D127" s="11" t="str">
        <x:v>Fibres, yarn and cloth</x:v>
      </x:c>
      <x:c r="E127" s="11" t="str">
        <x:v>Prepared flax fibre</x:v>
      </x:c>
      <x:c r="F127" s="11" t="str">
        <x:v>stone (14 lb)</x:v>
      </x:c>
      <x:c r="G127" s="51" t="n">
        <x:f>'Basis'!$F$96*K127</x:f>
        <x:v>0.08114409977475903</x:v>
      </x:c>
      <x:c r="H127" s="52" t="n">
        <x:f>G127*'Basis'!$D$7</x:f>
        <x:v>17.0402609526994</x:v>
      </x:c>
      <x:c r="I127" s="52" t="n">
        <x:f>H127*'Basis'!$D$8</x:f>
        <x:v>954.2546133511663</x:v>
      </x:c>
      <x:c r="J127" s="2" t="str">
        <x:v>wool</x:v>
      </x:c>
      <x:c r="K127" s="20" t="n">
        <x:v>1.5</x:v>
      </x:c>
      <x:c r="L127" s="11" t="str">
        <x:v>Retted and dressed.</x:v>
      </x:c>
    </x:row>
    <x:row r="128" ht="38" customHeight="1">
      <x:c r="C128" s="2" t="str">
        <x:v>linen_thread</x:v>
      </x:c>
      <x:c r="D128" s="11" t="str">
        <x:v>Fibres, yarn and cloth</x:v>
      </x:c>
      <x:c r="E128" s="11" t="str">
        <x:v>Linen thread</x:v>
      </x:c>
      <x:c r="F128" s="11" t="str">
        <x:v>lb</x:v>
      </x:c>
      <x:c r="G128" s="51" t="n">
        <x:f>'Basis'!$F$96*K128</x:f>
        <x:v>0.02704803325825301</x:v>
      </x:c>
      <x:c r="H128" s="52" t="n">
        <x:f>G128*'Basis'!$D$7</x:f>
        <x:v>5.680086984233132</x:v>
      </x:c>
      <x:c r="I128" s="52" t="n">
        <x:f>H128*'Basis'!$D$8</x:f>
        <x:v>318.0848711170554</x:v>
      </x:c>
      <x:c r="J128" s="2" t="str">
        <x:v>wool</x:v>
      </x:c>
      <x:c r="K128" s="20" t="n">
        <x:v>0.5</x:v>
      </x:c>
      <x:c r="L128" s="11" t="str">
        <x:v>Sewing or weaving thread.</x:v>
      </x:c>
    </x:row>
    <x:row r="129" ht="38" customHeight="1">
      <x:c r="C129" s="2" t="str">
        <x:v>hemp</x:v>
      </x:c>
      <x:c r="D129" s="11" t="str">
        <x:v>Fibres, yarn and cloth</x:v>
      </x:c>
      <x:c r="E129" s="11" t="str">
        <x:v>Hemp fibre</x:v>
      </x:c>
      <x:c r="F129" s="11" t="str">
        <x:v>stone (14 lb)</x:v>
      </x:c>
      <x:c r="G129" s="51" t="n">
        <x:f>'Basis'!$F$96*K129</x:f>
        <x:v>0.04327685321320482</x:v>
      </x:c>
      <x:c r="H129" s="52" t="n">
        <x:f>G129*'Basis'!$D$7</x:f>
        <x:v>9.088139174773012</x:v>
      </x:c>
      <x:c r="I129" s="52" t="n">
        <x:f>H129*'Basis'!$D$8</x:f>
        <x:v>508.9357937872887</x:v>
      </x:c>
      <x:c r="J129" s="2" t="str">
        <x:v>wool</x:v>
      </x:c>
      <x:c r="K129" s="20" t="n">
        <x:v>0.8</x:v>
      </x:c>
      <x:c r="L129" s="11" t="str">
        <x:v>Dressed ordinary fibre.</x:v>
      </x:c>
    </x:row>
    <x:row r="130" ht="38" customHeight="1">
      <x:c r="C130" s="2" t="str">
        <x:v>tow</x:v>
      </x:c>
      <x:c r="D130" s="11" t="str">
        <x:v>Fibres, yarn and cloth</x:v>
      </x:c>
      <x:c r="E130" s="11" t="str">
        <x:v>Tow fibre</x:v>
      </x:c>
      <x:c r="F130" s="11" t="str">
        <x:v>stone (14 lb)</x:v>
      </x:c>
      <x:c r="G130" s="51" t="n">
        <x:f>'Basis'!$F$96*K130</x:f>
        <x:v>0.018933623280777103</x:v>
      </x:c>
      <x:c r="H130" s="52" t="n">
        <x:f>G130*'Basis'!$D$7</x:f>
        <x:v>3.9760608889631914</x:v>
      </x:c>
      <x:c r="I130" s="52" t="n">
        <x:f>H130*'Basis'!$D$8</x:f>
        <x:v>222.65940978193873</x:v>
      </x:c>
      <x:c r="J130" s="2" t="str">
        <x:v>wool</x:v>
      </x:c>
      <x:c r="K130" s="20" t="n">
        <x:v>0.35</x:v>
      </x:c>
      <x:c r="L130" s="11" t="str">
        <x:v>Coarse fibre.</x:v>
      </x:c>
    </x:row>
    <x:row r="131" ht="38" customHeight="1">
      <x:c r="C131" s="2" t="str">
        <x:v>homespun</x:v>
      </x:c>
      <x:c r="D131" s="11" t="str">
        <x:v>Fibres, yarn and cloth</x:v>
      </x:c>
      <x:c r="E131" s="11" t="str">
        <x:v>Coarse wool cloth</x:v>
      </x:c>
      <x:c r="F131" s="11" t="str">
        <x:v>yard x 1-yard width</x:v>
      </x:c>
      <x:c r="G131" s="51" t="n">
        <x:f>'Basis'!$F$96*K131</x:f>
        <x:v>0.010819213303301205</x:v>
      </x:c>
      <x:c r="H131" s="52" t="n">
        <x:f>G131*'Basis'!$D$7</x:f>
        <x:v>2.272034793693253</x:v>
      </x:c>
      <x:c r="I131" s="52" t="n">
        <x:f>H131*'Basis'!$D$8</x:f>
        <x:v>127.23394844682217</x:v>
      </x:c>
      <x:c r="J131" s="2" t="str">
        <x:v>wool</x:v>
      </x:c>
      <x:c r="K131" s="20" t="n">
        <x:v>0.2</x:v>
      </x:c>
      <x:c r="L131" s="11" t="str">
        <x:v>Undyed finished cloth.</x:v>
      </x:c>
    </x:row>
    <x:row r="132" ht="38" customHeight="1">
      <x:c r="C132" s="2" t="str">
        <x:v>broadcloth</x:v>
      </x:c>
      <x:c r="D132" s="11" t="str">
        <x:v>Fibres, yarn and cloth</x:v>
      </x:c>
      <x:c r="E132" s="11" t="str">
        <x:v>Good wool broadcloth</x:v>
      </x:c>
      <x:c r="F132" s="11" t="str">
        <x:v>yard x 1-yard width</x:v>
      </x:c>
      <x:c r="G132" s="51" t="n">
        <x:f>'Basis'!$F$96*K132</x:f>
        <x:v>0.03516244323572891</x:v>
      </x:c>
      <x:c r="H132" s="52" t="n">
        <x:f>G132*'Basis'!$D$7</x:f>
        <x:v>7.384113079503071</x:v>
      </x:c>
      <x:c r="I132" s="52" t="n">
        <x:f>H132*'Basis'!$D$8</x:f>
        <x:v>413.51033245217195</x:v>
      </x:c>
      <x:c r="J132" s="2" t="str">
        <x:v>wool</x:v>
      </x:c>
      <x:c r="K132" s="20" t="n">
        <x:v>0.65</x:v>
      </x:c>
      <x:c r="L132" s="11" t="str">
        <x:v>Fulled ordinary good quality.</x:v>
      </x:c>
    </x:row>
    <x:row r="133" ht="38" customHeight="1">
      <x:c r="C133" s="2" t="str">
        <x:v>fine_wool</x:v>
      </x:c>
      <x:c r="D133" s="11" t="str">
        <x:v>Fibres, yarn and cloth</x:v>
      </x:c>
      <x:c r="E133" s="11" t="str">
        <x:v>Fine dyed wool cloth</x:v>
      </x:c>
      <x:c r="F133" s="11" t="str">
        <x:v>yard x 1-yard width</x:v>
      </x:c>
      <x:c r="G133" s="51" t="n">
        <x:f>'Basis'!$F$96*K133</x:f>
        <x:v>0.07573449312310841</x:v>
      </x:c>
      <x:c r="H133" s="52" t="n">
        <x:f>G133*'Basis'!$D$7</x:f>
        <x:v>15.904243555852766</x:v>
      </x:c>
      <x:c r="I133" s="52" t="n">
        <x:f>H133*'Basis'!$D$8</x:f>
        <x:v>890.6376391277549</x:v>
      </x:c>
      <x:c r="J133" s="2" t="str">
        <x:v>wool</x:v>
      </x:c>
      <x:c r="K133" s="20" t="n">
        <x:v>1.4</x:v>
      </x:c>
      <x:c r="L133" s="11" t="str">
        <x:v>Finished cloth; common dye.</x:v>
      </x:c>
    </x:row>
    <x:row r="134" ht="38" customHeight="1">
      <x:c r="C134" s="2" t="str">
        <x:v>linen</x:v>
      </x:c>
      <x:c r="D134" s="11" t="str">
        <x:v>Fibres, yarn and cloth</x:v>
      </x:c>
      <x:c r="E134" s="11" t="str">
        <x:v>Plain linen</x:v>
      </x:c>
      <x:c r="F134" s="11" t="str">
        <x:v>yard x 1-yard width</x:v>
      </x:c>
      <x:c r="G134" s="51" t="n">
        <x:f>'Basis'!$F$96*K134</x:f>
        <x:v>0.02704803325825301</x:v>
      </x:c>
      <x:c r="H134" s="52" t="n">
        <x:f>G134*'Basis'!$D$7</x:f>
        <x:v>5.680086984233132</x:v>
      </x:c>
      <x:c r="I134" s="52" t="n">
        <x:f>H134*'Basis'!$D$8</x:f>
        <x:v>318.0848711170554</x:v>
      </x:c>
      <x:c r="J134" s="2" t="str">
        <x:v>wool</x:v>
      </x:c>
      <x:c r="K134" s="20" t="n">
        <x:v>0.5</x:v>
      </x:c>
      <x:c r="L134" s="11" t="str">
        <x:v>Finished bleached or natural cloth.</x:v>
      </x:c>
    </x:row>
    <x:row r="135" ht="38" customHeight="1">
      <x:c r="C135" s="2" t="str">
        <x:v>fine_linen</x:v>
      </x:c>
      <x:c r="D135" s="11" t="str">
        <x:v>Fibres, yarn and cloth</x:v>
      </x:c>
      <x:c r="E135" s="11" t="str">
        <x:v>Fine linen</x:v>
      </x:c>
      <x:c r="F135" s="11" t="str">
        <x:v>yard x 1-yard width</x:v>
      </x:c>
      <x:c r="G135" s="51" t="n">
        <x:f>'Basis'!$F$96*K135</x:f>
        <x:v>0.06491527981980721</x:v>
      </x:c>
      <x:c r="H135" s="52" t="n">
        <x:f>G135*'Basis'!$D$7</x:f>
        <x:v>13.632208762159514</x:v>
      </x:c>
      <x:c r="I135" s="52" t="n">
        <x:f>H135*'Basis'!$D$8</x:f>
        <x:v>763.4036906809329</x:v>
      </x:c>
      <x:c r="J135" s="2" t="str">
        <x:v>wool</x:v>
      </x:c>
      <x:c r="K135" s="20" t="n">
        <x:v>1.2</x:v>
      </x:c>
      <x:c r="L135" s="11" t="str">
        <x:v>Fine finished cloth.</x:v>
      </x:c>
    </x:row>
    <x:row r="136" ht="38" customHeight="1">
      <x:c r="C136" s="2" t="str">
        <x:v>canvas</x:v>
      </x:c>
      <x:c r="D136" s="11" t="str">
        <x:v>Fibres, yarn and cloth</x:v>
      </x:c>
      <x:c r="E136" s="11" t="str">
        <x:v>Heavy canvas</x:v>
      </x:c>
      <x:c r="F136" s="11" t="str">
        <x:v>yard x 1-yard width</x:v>
      </x:c>
      <x:c r="G136" s="51" t="n">
        <x:f>'Basis'!$F$96*K136</x:f>
        <x:v>0.02434322993242771</x:v>
      </x:c>
      <x:c r="H136" s="52" t="n">
        <x:f>G136*'Basis'!$D$7</x:f>
        <x:v>5.112078285809819</x:v>
      </x:c>
      <x:c r="I136" s="52" t="n">
        <x:f>H136*'Basis'!$D$8</x:f>
        <x:v>286.2763840053499</x:v>
      </x:c>
      <x:c r="J136" s="2" t="str">
        <x:v>wool</x:v>
      </x:c>
      <x:c r="K136" s="20" t="n">
        <x:v>0.45</x:v>
      </x:c>
      <x:c r="L136" s="11" t="str">
        <x:v>Sack or tent canvas.</x:v>
      </x:c>
    </x:row>
    <x:row r="137" ht="38" customHeight="1">
      <x:c r="C137" s="2" t="str">
        <x:v>sailcloth</x:v>
      </x:c>
      <x:c r="D137" s="11" t="str">
        <x:v>Fibres, yarn and cloth</x:v>
      </x:c>
      <x:c r="E137" s="11" t="str">
        <x:v>Sailcloth</x:v>
      </x:c>
      <x:c r="F137" s="11" t="str">
        <x:v>yard x 1-yard width</x:v>
      </x:c>
      <x:c r="G137" s="51" t="n">
        <x:f>'Basis'!$F$96*K137</x:f>
        <x:v>0.037867246561554206</x:v>
      </x:c>
      <x:c r="H137" s="52" t="n">
        <x:f>G137*'Basis'!$D$7</x:f>
        <x:v>7.952121777926383</x:v>
      </x:c>
      <x:c r="I137" s="52" t="n">
        <x:f>H137*'Basis'!$D$8</x:f>
        <x:v>445.31881956387747</x:v>
      </x:c>
      <x:c r="J137" s="2" t="str">
        <x:v>wool</x:v>
      </x:c>
      <x:c r="K137" s="20" t="n">
        <x:v>0.7</x:v>
      </x:c>
      <x:c r="L137" s="11" t="str">
        <x:v>Close-woven canvas.</x:v>
      </x:c>
    </x:row>
    <x:row r="138" ht="38" customHeight="1">
      <x:c r="C138" s="2" t="str">
        <x:v>silk</x:v>
      </x:c>
      <x:c r="D138" s="11" t="str">
        <x:v>Fibres, yarn and cloth</x:v>
      </x:c>
      <x:c r="E138" s="11" t="str">
        <x:v>Plain imported silk</x:v>
      </x:c>
      <x:c r="F138" s="11" t="str">
        <x:v>yard x 1-yard width</x:v>
      </x:c>
      <x:c r="G138" s="51" t="n">
        <x:f>'Basis'!$F$96*K138</x:f>
        <x:v>0.27048033258253007</x:v>
      </x:c>
      <x:c r="H138" s="52" t="n">
        <x:f>G138*'Basis'!$D$7</x:f>
        <x:v>56.800869842331316</x:v>
      </x:c>
      <x:c r="I138" s="52" t="n">
        <x:f>H138*'Basis'!$D$8</x:f>
        <x:v>3180.8487111705535</x:v>
      </x:c>
      <x:c r="J138" s="2" t="str">
        <x:v>wool</x:v>
      </x:c>
      <x:c r="K138" s="20" t="n">
        <x:v>5</x:v>
      </x:c>
      <x:c r="L138" s="11" t="str">
        <x:v>Landed White Harbor wholesale.</x:v>
      </x:c>
    </x:row>
    <x:row r="139" ht="38" customHeight="1">
      <x:c r="C139" s="2" t="str">
        <x:v>velvet</x:v>
      </x:c>
      <x:c r="D139" s="11" t="str">
        <x:v>Fibres, yarn and cloth</x:v>
      </x:c>
      <x:c r="E139" s="11" t="str">
        <x:v>Silk velvet</x:v>
      </x:c>
      <x:c r="F139" s="11" t="str">
        <x:v>yard x 1-yard width</x:v>
      </x:c>
      <x:c r="G139" s="51" t="n">
        <x:f>'Basis'!$F$96*K139</x:f>
        <x:v>0.5409606651650601</x:v>
      </x:c>
      <x:c r="H139" s="52" t="n">
        <x:f>G139*'Basis'!$D$7</x:f>
        <x:v>113.60173968466263</x:v>
      </x:c>
      <x:c r="I139" s="52" t="n">
        <x:f>H139*'Basis'!$D$8</x:f>
        <x:v>6361.697422341107</x:v>
      </x:c>
      <x:c r="J139" s="2" t="str">
        <x:v>wool</x:v>
      </x:c>
      <x:c r="K139" s="20" t="n">
        <x:v>10</x:v>
      </x:c>
      <x:c r="L139" s="11" t="str">
        <x:v>Landed White Harbor wholesale.</x:v>
      </x:c>
    </x:row>
    <x:row r="140" ht="38" customHeight="1">
      <x:c r="C140" s="2" t="str">
        <x:v>brocade</x:v>
      </x:c>
      <x:c r="D140" s="11" t="str">
        <x:v>Fibres, yarn and cloth</x:v>
      </x:c>
      <x:c r="E140" s="11" t="str">
        <x:v>Patterned silk brocade</x:v>
      </x:c>
      <x:c r="F140" s="11" t="str">
        <x:v>yard x 1-yard width</x:v>
      </x:c>
      <x:c r="G140" s="51" t="n">
        <x:f>'Basis'!$F$96*K140</x:f>
        <x:v>0.9737291972971083</x:v>
      </x:c>
      <x:c r="H140" s="52" t="n">
        <x:f>G140*'Basis'!$D$7</x:f>
        <x:v>204.48313143239272</x:v>
      </x:c>
      <x:c r="I140" s="52" t="n">
        <x:f>H140*'Basis'!$D$8</x:f>
        <x:v>11451.055360213992</x:v>
      </x:c>
      <x:c r="J140" s="2" t="str">
        <x:v>wool</x:v>
      </x:c>
      <x:c r="K140" s="20" t="n">
        <x:v>18</x:v>
      </x:c>
      <x:c r="L140" s="11" t="str">
        <x:v>Landed White Harbor wholesale.</x:v>
      </x:c>
    </x:row>
    <x:row r="141" ht="38" customHeight="1">
      <x:c r="C141" s="2" t="str">
        <x:v>felt</x:v>
      </x:c>
      <x:c r="D141" s="11" t="str">
        <x:v>Fibres, yarn and cloth</x:v>
      </x:c>
      <x:c r="E141" s="11" t="str">
        <x:v>Wool felt</x:v>
      </x:c>
      <x:c r="F141" s="11" t="str">
        <x:v>square yard</x:v>
      </x:c>
      <x:c r="G141" s="51" t="n">
        <x:f>'Basis'!$F$96*K141</x:f>
        <x:v>0.013524016629126504</x:v>
      </x:c>
      <x:c r="H141" s="52" t="n">
        <x:f>G141*'Basis'!$D$7</x:f>
        <x:v>2.840043492116566</x:v>
      </x:c>
      <x:c r="I141" s="52" t="n">
        <x:f>H141*'Basis'!$D$8</x:f>
        <x:v>159.0424355585277</x:v>
      </x:c>
      <x:c r="J141" s="2" t="str">
        <x:v>wool</x:v>
      </x:c>
      <x:c r="K141" s="20" t="n">
        <x:v>0.25</x:v>
      </x:c>
      <x:c r="L141" s="11" t="str">
        <x:v>Hat or lining grade.</x:v>
      </x:c>
    </x:row>
    <x:row r="142" ht="38" customHeight="1">
      <x:c r="C142" s="2" t="str">
        <x:v>tunic</x:v>
      </x:c>
      <x:c r="D142" s="11" t="str">
        <x:v>Clothing and bedding</x:v>
      </x:c>
      <x:c r="E142" s="11" t="str">
        <x:v>Work tunic</x:v>
      </x:c>
      <x:c r="F142" s="11" t="str">
        <x:v>each</x:v>
      </x:c>
      <x:c r="G142" s="51" t="n">
        <x:f>'Basis'!$F$85*K142</x:f>
        <x:v>0.05680086984233133</x:v>
      </x:c>
      <x:c r="H142" s="52" t="n">
        <x:f>G142*'Basis'!$D$7</x:f>
        <x:v>11.928182666889578</x:v>
      </x:c>
      <x:c r="I142" s="52" t="n">
        <x:f>H142*'Basis'!$D$8</x:f>
        <x:v>667.9782293458163</x:v>
      </x:c>
      <x:c r="J142" s="2" t="str">
        <x:v>livery</x:v>
      </x:c>
      <x:c r="K142" s="20" t="n">
        <x:v>0.3</x:v>
      </x:c>
      <x:c r="L142" s="11" t="str">
        <x:v>Coarse wool, finished.</x:v>
      </x:c>
    </x:row>
    <x:row r="143" ht="38" customHeight="1">
      <x:c r="C143" s="2" t="str">
        <x:v>trousers</x:v>
      </x:c>
      <x:c r="D143" s="11" t="str">
        <x:v>Clothing and bedding</x:v>
      </x:c>
      <x:c r="E143" s="11" t="str">
        <x:v>Work breeches</x:v>
      </x:c>
      <x:c r="F143" s="11" t="str">
        <x:v>pair</x:v>
      </x:c>
      <x:c r="G143" s="51" t="n">
        <x:f>'Basis'!$F$85*K143</x:f>
        <x:v>0.04544069587386506</x:v>
      </x:c>
      <x:c r="H143" s="52" t="n">
        <x:f>G143*'Basis'!$D$7</x:f>
        <x:v>9.542546133511662</x:v>
      </x:c>
      <x:c r="I143" s="52" t="n">
        <x:f>H143*'Basis'!$D$8</x:f>
        <x:v>534.382583476653</x:v>
      </x:c>
      <x:c r="J143" s="2" t="str">
        <x:v>livery</x:v>
      </x:c>
      <x:c r="K143" s="20" t="n">
        <x:v>0.24</x:v>
      </x:c>
      <x:c r="L143" s="11" t="str">
        <x:v>Coarse wool, finished.</x:v>
      </x:c>
    </x:row>
    <x:row r="144" ht="38" customHeight="1">
      <x:c r="C144" s="2" t="str">
        <x:v>shirt</x:v>
      </x:c>
      <x:c r="D144" s="11" t="str">
        <x:v>Clothing and bedding</x:v>
      </x:c>
      <x:c r="E144" s="11" t="str">
        <x:v>Linen shirt</x:v>
      </x:c>
      <x:c r="F144" s="11" t="str">
        <x:v>each</x:v>
      </x:c>
      <x:c r="G144" s="51" t="n">
        <x:f>'Basis'!$F$85*K144</x:f>
        <x:v>0.07573449312310844</x:v>
      </x:c>
      <x:c r="H144" s="52" t="n">
        <x:f>G144*'Basis'!$D$7</x:f>
        <x:v>15.904243555852773</x:v>
      </x:c>
      <x:c r="I144" s="52" t="n">
        <x:f>H144*'Basis'!$D$8</x:f>
        <x:v>890.6376391277553</x:v>
      </x:c>
      <x:c r="J144" s="2" t="str">
        <x:v>livery</x:v>
      </x:c>
      <x:c r="K144" s="20" t="n">
        <x:v>0.4</x:v>
      </x:c>
      <x:c r="L144" s="11" t="str">
        <x:v>Plain linen, finished.</x:v>
      </x:c>
    </x:row>
    <x:row r="145" ht="38" customHeight="1">
      <x:c r="C145" s="2" t="str">
        <x:v>dress</x:v>
      </x:c>
      <x:c r="D145" s="11" t="str">
        <x:v>Clothing and bedding</x:v>
      </x:c>
      <x:c r="E145" s="11" t="str">
        <x:v>Plain wool dress</x:v>
      </x:c>
      <x:c r="F145" s="11" t="str">
        <x:v>each</x:v>
      </x:c>
      <x:c r="G145" s="51" t="n">
        <x:f>'Basis'!$F$85*K145</x:f>
        <x:v>0.10413492804427411</x:v>
      </x:c>
      <x:c r="H145" s="52" t="n">
        <x:f>G145*'Basis'!$D$7</x:f>
        <x:v>21.868334889297564</x:v>
      </x:c>
      <x:c r="I145" s="52" t="n">
        <x:f>H145*'Basis'!$D$8</x:f>
        <x:v>1224.6267538006637</x:v>
      </x:c>
      <x:c r="J145" s="2" t="str">
        <x:v>livery</x:v>
      </x:c>
      <x:c r="K145" s="20" t="n">
        <x:v>0.55</x:v>
      </x:c>
      <x:c r="L145" s="11" t="str">
        <x:v>Ordinary cut; finished.</x:v>
      </x:c>
    </x:row>
    <x:row r="146" ht="38" customHeight="1">
      <x:c r="C146" s="2" t="str">
        <x:v>cloak</x:v>
      </x:c>
      <x:c r="D146" s="11" t="str">
        <x:v>Clothing and bedding</x:v>
      </x:c>
      <x:c r="E146" s="11" t="str">
        <x:v>Heavy wool cloak</x:v>
      </x:c>
      <x:c r="F146" s="11" t="str">
        <x:v>each</x:v>
      </x:c>
      <x:c r="G146" s="51" t="n">
        <x:f>'Basis'!$F$85*K146</x:f>
        <x:v>0.10413492804427411</x:v>
      </x:c>
      <x:c r="H146" s="52" t="n">
        <x:f>G146*'Basis'!$D$7</x:f>
        <x:v>21.868334889297564</x:v>
      </x:c>
      <x:c r="I146" s="52" t="n">
        <x:f>H146*'Basis'!$D$8</x:f>
        <x:v>1224.6267538006637</x:v>
      </x:c>
      <x:c r="J146" s="2" t="str">
        <x:v>livery</x:v>
      </x:c>
      <x:c r="K146" s="20" t="n">
        <x:v>0.55</x:v>
      </x:c>
      <x:c r="L146" s="11" t="str">
        <x:v>Plain weather cloak.</x:v>
      </x:c>
    </x:row>
    <x:row r="147" ht="38" customHeight="1">
      <x:c r="C147" s="2" t="str">
        <x:v>fur_cloak</x:v>
      </x:c>
      <x:c r="D147" s="11" t="str">
        <x:v>Clothing and bedding</x:v>
      </x:c>
      <x:c r="E147" s="11" t="str">
        <x:v>Fur-lined cloak</x:v>
      </x:c>
      <x:c r="F147" s="11" t="str">
        <x:v>each</x:v>
      </x:c>
      <x:c r="G147" s="51" t="n">
        <x:f>'Basis'!$F$85*K147</x:f>
        <x:v>0.41653971217709646</x:v>
      </x:c>
      <x:c r="H147" s="52" t="n">
        <x:f>G147*'Basis'!$D$7</x:f>
        <x:v>87.47333955719026</x:v>
      </x:c>
      <x:c r="I147" s="52" t="n">
        <x:f>H147*'Basis'!$D$8</x:f>
        <x:v>4898.507015202655</x:v>
      </x:c>
      <x:c r="J147" s="2" t="str">
        <x:v>livery</x:v>
      </x:c>
      <x:c r="K147" s="20" t="n">
        <x:v>2.2</x:v>
      </x:c>
      <x:c r="L147" s="11" t="str">
        <x:v>Common sheep or rabbit fur lining.</x:v>
      </x:c>
    </x:row>
    <x:row r="148" ht="38" customHeight="1">
      <x:c r="C148" s="2" t="str">
        <x:v>fine_doublet</x:v>
      </x:c>
      <x:c r="D148" s="11" t="str">
        <x:v>Clothing and bedding</x:v>
      </x:c>
      <x:c r="E148" s="11" t="str">
        <x:v>Fine wool doublet</x:v>
      </x:c>
      <x:c r="F148" s="11" t="str">
        <x:v>each</x:v>
      </x:c>
      <x:c r="G148" s="51" t="n">
        <x:f>'Basis'!$F$85*K148</x:f>
        <x:v>0.2840043492116566</x:v>
      </x:c>
      <x:c r="H148" s="52" t="n">
        <x:f>G148*'Basis'!$D$7</x:f>
        <x:v>59.640913334447895</x:v>
      </x:c>
      <x:c r="I148" s="52" t="n">
        <x:f>H148*'Basis'!$D$8</x:f>
        <x:v>3339.8911467290823</x:v>
      </x:c>
      <x:c r="J148" s="2" t="str">
        <x:v>livery</x:v>
      </x:c>
      <x:c r="K148" s="20" t="n">
        <x:v>1.5</x:v>
      </x:c>
      <x:c r="L148" s="11" t="str">
        <x:v>Tailored finished garment.</x:v>
      </x:c>
    </x:row>
    <x:row r="149" ht="38" customHeight="1">
      <x:c r="C149" s="2" t="str">
        <x:v>silk_gown</x:v>
      </x:c>
      <x:c r="D149" s="11" t="str">
        <x:v>Clothing and bedding</x:v>
      </x:c>
      <x:c r="E149" s="11" t="str">
        <x:v>Silk court gown</x:v>
      </x:c>
      <x:c r="F149" s="11" t="str">
        <x:v>each</x:v>
      </x:c>
      <x:c r="G149" s="51" t="n">
        <x:f>'Basis'!$F$85*K149</x:f>
        <x:v>2.272034793693253</x:v>
      </x:c>
      <x:c r="H149" s="52" t="n">
        <x:f>G149*'Basis'!$D$7</x:f>
        <x:v>477.12730667558316</x:v>
      </x:c>
      <x:c r="I149" s="52" t="n">
        <x:f>H149*'Basis'!$D$8</x:f>
        <x:v>26719.129173832658</x:v>
      </x:c>
      <x:c r="J149" s="2" t="str">
        <x:v>livery</x:v>
      </x:c>
      <x:c r="K149" s="20" t="n">
        <x:v>12</x:v>
      </x:c>
      <x:c r="L149" s="11" t="str">
        <x:v>Good silk with tailoring, no jewels.</x:v>
      </x:c>
    </x:row>
    <x:row r="150" ht="38" customHeight="1">
      <x:c r="C150" s="2" t="str">
        <x:v>hat</x:v>
      </x:c>
      <x:c r="D150" s="11" t="str">
        <x:v>Clothing and bedding</x:v>
      </x:c>
      <x:c r="E150" s="11" t="str">
        <x:v>Felt hat</x:v>
      </x:c>
      <x:c r="F150" s="11" t="str">
        <x:v>each</x:v>
      </x:c>
      <x:c r="G150" s="51" t="n">
        <x:f>'Basis'!$F$85*K150</x:f>
        <x:v>0.01893362328077711</x:v>
      </x:c>
      <x:c r="H150" s="52" t="n">
        <x:f>G150*'Basis'!$D$7</x:f>
        <x:v>3.976060888963193</x:v>
      </x:c>
      <x:c r="I150" s="52" t="n">
        <x:f>H150*'Basis'!$D$8</x:f>
        <x:v>222.65940978193882</x:v>
      </x:c>
      <x:c r="J150" s="2" t="str">
        <x:v>livery</x:v>
      </x:c>
      <x:c r="K150" s="20" t="n">
        <x:v>0.1</x:v>
      </x:c>
      <x:c r="L150" s="11" t="str">
        <x:v>Plain working hat.</x:v>
      </x:c>
    </x:row>
    <x:row r="151" ht="38" customHeight="1">
      <x:c r="C151" s="2" t="str">
        <x:v>gloves</x:v>
      </x:c>
      <x:c r="D151" s="11" t="str">
        <x:v>Clothing and bedding</x:v>
      </x:c>
      <x:c r="E151" s="11" t="str">
        <x:v>Leather gloves</x:v>
      </x:c>
      <x:c r="F151" s="11" t="str">
        <x:v>pair</x:v>
      </x:c>
      <x:c r="G151" s="51" t="n">
        <x:f>'Basis'!$F$85*K151</x:f>
        <x:v>0.030293797249243377</x:v>
      </x:c>
      <x:c r="H151" s="52" t="n">
        <x:f>G151*'Basis'!$D$7</x:f>
        <x:v>6.361697422341109</x:v>
      </x:c>
      <x:c r="I151" s="52" t="n">
        <x:f>H151*'Basis'!$D$8</x:f>
        <x:v>356.2550556511021</x:v>
      </x:c>
      <x:c r="J151" s="2" t="str">
        <x:v>livery</x:v>
      </x:c>
      <x:c r="K151" s="20" t="n">
        <x:v>0.16</x:v>
      </x:c>
      <x:c r="L151" s="11" t="str">
        <x:v>Unlined work gloves.</x:v>
      </x:c>
    </x:row>
    <x:row r="152" ht="38" customHeight="1">
      <x:c r="C152" s="2" t="str">
        <x:v>stockings</x:v>
      </x:c>
      <x:c r="D152" s="11" t="str">
        <x:v>Clothing and bedding</x:v>
      </x:c>
      <x:c r="E152" s="11" t="str">
        <x:v>Wool stockings</x:v>
      </x:c>
      <x:c r="F152" s="11" t="str">
        <x:v>pair</x:v>
      </x:c>
      <x:c r="G152" s="51" t="n">
        <x:f>'Basis'!$F$85*K152</x:f>
        <x:v>0.02272034793693253</x:v>
      </x:c>
      <x:c r="H152" s="52" t="n">
        <x:f>G152*'Basis'!$D$7</x:f>
        <x:v>4.771273066755831</x:v>
      </x:c>
      <x:c r="I152" s="52" t="n">
        <x:f>H152*'Basis'!$D$8</x:f>
        <x:v>267.1912917383265</x:v>
      </x:c>
      <x:c r="J152" s="2" t="str">
        <x:v>livery</x:v>
      </x:c>
      <x:c r="K152" s="20" t="n">
        <x:v>0.12</x:v>
      </x:c>
      <x:c r="L152" s="11" t="str">
        <x:v>Ordinary knit or sewn pair.</x:v>
      </x:c>
    </x:row>
    <x:row r="153" ht="38" customHeight="1">
      <x:c r="C153" s="2" t="str">
        <x:v>shoes</x:v>
      </x:c>
      <x:c r="D153" s="11" t="str">
        <x:v>Clothing and bedding</x:v>
      </x:c>
      <x:c r="E153" s="11" t="str">
        <x:v>Leather shoes</x:v>
      </x:c>
      <x:c r="F153" s="11" t="str">
        <x:v>pair</x:v>
      </x:c>
      <x:c r="G153" s="51" t="n">
        <x:f>'Basis'!$F$85*K153</x:f>
        <x:v>0.053014145186175914</x:v>
      </x:c>
      <x:c r="H153" s="52" t="n">
        <x:f>G153*'Basis'!$D$7</x:f>
        <x:v>11.132970489096941</x:v>
      </x:c>
      <x:c r="I153" s="52" t="n">
        <x:f>H153*'Basis'!$D$8</x:f>
        <x:v>623.4463473894286</x:v>
      </x:c>
      <x:c r="J153" s="2" t="str">
        <x:v>livery</x:v>
      </x:c>
      <x:c r="K153" s="20" t="n">
        <x:v>0.28</x:v>
      </x:c>
      <x:c r="L153" s="11" t="str">
        <x:v>Finished everyday pair.</x:v>
      </x:c>
    </x:row>
    <x:row r="154" ht="38" customHeight="1">
      <x:c r="C154" s="2" t="str">
        <x:v>boots</x:v>
      </x:c>
      <x:c r="D154" s="11" t="str">
        <x:v>Clothing and bedding</x:v>
      </x:c>
      <x:c r="E154" s="11" t="str">
        <x:v>Stout leather boots</x:v>
      </x:c>
      <x:c r="F154" s="11" t="str">
        <x:v>pair</x:v>
      </x:c>
      <x:c r="G154" s="51" t="n">
        <x:f>'Basis'!$F$85*K154</x:f>
        <x:v>0.10413492804427411</x:v>
      </x:c>
      <x:c r="H154" s="52" t="n">
        <x:f>G154*'Basis'!$D$7</x:f>
        <x:v>21.868334889297564</x:v>
      </x:c>
      <x:c r="I154" s="52" t="n">
        <x:f>H154*'Basis'!$D$8</x:f>
        <x:v>1224.6267538006637</x:v>
      </x:c>
      <x:c r="J154" s="2" t="str">
        <x:v>livery</x:v>
      </x:c>
      <x:c r="K154" s="20" t="n">
        <x:v>0.55</x:v>
      </x:c>
      <x:c r="L154" s="11" t="str">
        <x:v>Finished working pair.</x:v>
      </x:c>
    </x:row>
    <x:row r="155" ht="38" customHeight="1">
      <x:c r="C155" s="2" t="str">
        <x:v>winter_boots</x:v>
      </x:c>
      <x:c r="D155" s="11" t="str">
        <x:v>Clothing and bedding</x:v>
      </x:c>
      <x:c r="E155" s="11" t="str">
        <x:v>Lined winter boots</x:v>
      </x:c>
      <x:c r="F155" s="11" t="str">
        <x:v>pair</x:v>
      </x:c>
      <x:c r="G155" s="51" t="n">
        <x:f>'Basis'!$F$85*K155</x:f>
        <x:v>0.15146898624621688</x:v>
      </x:c>
      <x:c r="H155" s="52" t="n">
        <x:f>G155*'Basis'!$D$7</x:f>
        <x:v>31.808487111705546</x:v>
      </x:c>
      <x:c r="I155" s="52" t="n">
        <x:f>H155*'Basis'!$D$8</x:f>
        <x:v>1781.2752782555106</x:v>
      </x:c>
      <x:c r="J155" s="2" t="str">
        <x:v>livery</x:v>
      </x:c>
      <x:c r="K155" s="20" t="n">
        <x:v>0.8</x:v>
      </x:c>
      <x:c r="L155" s="11" t="str">
        <x:v>Warm lined pair.</x:v>
      </x:c>
    </x:row>
    <x:row r="156" ht="38" customHeight="1">
      <x:c r="C156" s="2" t="str">
        <x:v>belt</x:v>
      </x:c>
      <x:c r="D156" s="11" t="str">
        <x:v>Clothing and bedding</x:v>
      </x:c>
      <x:c r="E156" s="11" t="str">
        <x:v>Leather belt</x:v>
      </x:c>
      <x:c r="F156" s="11" t="str">
        <x:v>each</x:v>
      </x:c>
      <x:c r="G156" s="51" t="n">
        <x:f>'Basis'!$F$85*K156</x:f>
        <x:v>0.01893362328077711</x:v>
      </x:c>
      <x:c r="H156" s="52" t="n">
        <x:f>G156*'Basis'!$D$7</x:f>
        <x:v>3.976060888963193</x:v>
      </x:c>
      <x:c r="I156" s="52" t="n">
        <x:f>H156*'Basis'!$D$8</x:f>
        <x:v>222.65940978193882</x:v>
      </x:c>
      <x:c r="J156" s="2" t="str">
        <x:v>livery</x:v>
      </x:c>
      <x:c r="K156" s="20" t="n">
        <x:v>0.1</x:v>
      </x:c>
      <x:c r="L156" s="11" t="str">
        <x:v>Simple metal buckle.</x:v>
      </x:c>
    </x:row>
    <x:row r="157" ht="38" customHeight="1">
      <x:c r="C157" s="2" t="str">
        <x:v>blanket</x:v>
      </x:c>
      <x:c r="D157" s="11" t="str">
        <x:v>Clothing and bedding</x:v>
      </x:c>
      <x:c r="E157" s="11" t="str">
        <x:v>Wool blanket</x:v>
      </x:c>
      <x:c r="F157" s="11" t="str">
        <x:v>each, 6 x 5 ft</x:v>
      </x:c>
      <x:c r="G157" s="51" t="n">
        <x:f>'Basis'!$F$85*K157</x:f>
        <x:v>0.085201304763497</x:v>
      </x:c>
      <x:c r="H157" s="52" t="n">
        <x:f>G157*'Basis'!$D$7</x:f>
        <x:v>17.892274000334368</x:v>
      </x:c>
      <x:c r="I157" s="52" t="n">
        <x:f>H157*'Basis'!$D$8</x:f>
        <x:v>1001.9673440187246</x:v>
      </x:c>
      <x:c r="J157" s="2" t="str">
        <x:v>livery</x:v>
      </x:c>
      <x:c r="K157" s="20" t="n">
        <x:v>0.45</x:v>
      </x:c>
      <x:c r="L157" s="11" t="str">
        <x:v>Ordinary heavy blanket.</x:v>
      </x:c>
    </x:row>
    <x:row r="158" ht="38" customHeight="1">
      <x:c r="C158" s="2" t="str">
        <x:v>linen_sheet</x:v>
      </x:c>
      <x:c r="D158" s="11" t="str">
        <x:v>Clothing and bedding</x:v>
      </x:c>
      <x:c r="E158" s="11" t="str">
        <x:v>Linen sheet</x:v>
      </x:c>
      <x:c r="F158" s="11" t="str">
        <x:v>each, 7 x 5 ft</x:v>
      </x:c>
      <x:c r="G158" s="51" t="n">
        <x:f>'Basis'!$F$85*K158</x:f>
        <x:v>0.12306855132505122</x:v>
      </x:c>
      <x:c r="H158" s="52" t="n">
        <x:f>G158*'Basis'!$D$7</x:f>
        <x:v>25.844395778260758</x:v>
      </x:c>
      <x:c r="I158" s="52" t="n">
        <x:f>H158*'Basis'!$D$8</x:f>
        <x:v>1447.2861635826025</x:v>
      </x:c>
      <x:c r="J158" s="2" t="str">
        <x:v>livery</x:v>
      </x:c>
      <x:c r="K158" s="20" t="n">
        <x:v>0.65</x:v>
      </x:c>
      <x:c r="L158" s="11" t="str">
        <x:v>Plain finished sheet.</x:v>
      </x:c>
    </x:row>
    <x:row r="159" ht="38" customHeight="1">
      <x:c r="C159" s="2" t="str">
        <x:v>straw_tick</x:v>
      </x:c>
      <x:c r="D159" s="11" t="str">
        <x:v>Clothing and bedding</x:v>
      </x:c>
      <x:c r="E159" s="11" t="str">
        <x:v>Straw-filled bed tick</x:v>
      </x:c>
      <x:c r="F159" s="11" t="str">
        <x:v>single</x:v>
      </x:c>
      <x:c r="G159" s="51" t="n">
        <x:f>'Basis'!$F$85*K159</x:f>
        <x:v>0.04733405820194277</x:v>
      </x:c>
      <x:c r="H159" s="52" t="n">
        <x:f>G159*'Basis'!$D$7</x:f>
        <x:v>9.940152222407983</x:v>
      </x:c>
      <x:c r="I159" s="52" t="n">
        <x:f>H159*'Basis'!$D$8</x:f>
        <x:v>556.648524454847</x:v>
      </x:c>
      <x:c r="J159" s="2" t="str">
        <x:v>livery</x:v>
      </x:c>
      <x:c r="K159" s="20" t="n">
        <x:v>0.25</x:v>
      </x:c>
      <x:c r="L159" s="11" t="str">
        <x:v>Canvas shell and clean straw.</x:v>
      </x:c>
    </x:row>
    <x:row r="160" ht="38" customHeight="1">
      <x:c r="C160" s="2" t="str">
        <x:v>feather_bed</x:v>
      </x:c>
      <x:c r="D160" s="11" t="str">
        <x:v>Clothing and bedding</x:v>
      </x:c>
      <x:c r="E160" s="11" t="str">
        <x:v>Feather mattress</x:v>
      </x:c>
      <x:c r="F160" s="11" t="str">
        <x:v>single</x:v>
      </x:c>
      <x:c r="G160" s="51" t="n">
        <x:f>'Basis'!$F$85*K160</x:f>
        <x:v>0.6626768148271989</x:v>
      </x:c>
      <x:c r="H160" s="52" t="n">
        <x:f>G160*'Basis'!$D$7</x:f>
        <x:v>139.16213111371175</x:v>
      </x:c>
      <x:c r="I160" s="52" t="n">
        <x:f>H160*'Basis'!$D$8</x:f>
        <x:v>7793.079342367858</x:v>
      </x:c>
      <x:c r="J160" s="2" t="str">
        <x:v>livery</x:v>
      </x:c>
      <x:c r="K160" s="20" t="n">
        <x:v>3.5</x:v>
      </x:c>
      <x:c r="L160" s="11" t="str">
        <x:v>Finished mattress.</x:v>
      </x:c>
    </x:row>
    <x:row r="161" ht="38" customHeight="1">
      <x:c r="C161" s="2" t="str">
        <x:v>pillow</x:v>
      </x:c>
      <x:c r="D161" s="11" t="str">
        <x:v>Clothing and bedding</x:v>
      </x:c>
      <x:c r="E161" s="11" t="str">
        <x:v>Feather pillow</x:v>
      </x:c>
      <x:c r="F161" s="11" t="str">
        <x:v>each</x:v>
      </x:c>
      <x:c r="G161" s="51" t="n">
        <x:f>'Basis'!$F$85*K161</x:f>
        <x:v>0.07573449312310844</x:v>
      </x:c>
      <x:c r="H161" s="52" t="n">
        <x:f>G161*'Basis'!$D$7</x:f>
        <x:v>15.904243555852773</x:v>
      </x:c>
      <x:c r="I161" s="52" t="n">
        <x:f>H161*'Basis'!$D$8</x:f>
        <x:v>890.6376391277553</x:v>
      </x:c>
      <x:c r="J161" s="2" t="str">
        <x:v>livery</x:v>
      </x:c>
      <x:c r="K161" s="20" t="n">
        <x:v>0.4</x:v>
      </x:c>
      <x:c r="L161" s="11" t="str">
        <x:v>Plain cover.</x:v>
      </x:c>
    </x:row>
    <x:row r="162" ht="38" customHeight="1">
      <x:c r="C162" s="2" t="str">
        <x:v>livery_issue</x:v>
      </x:c>
      <x:c r="D162" s="11" t="str">
        <x:v>Clothing and bedding</x:v>
      </x:c>
      <x:c r="E162" s="11" t="str">
        <x:v>Annual clothing issue</x:v>
      </x:c>
      <x:c r="F162" s="11" t="str">
        <x:v>person-year</x:v>
      </x:c>
      <x:c r="G162" s="51" t="n">
        <x:f>'Basis'!$F$85*K162</x:f>
        <x:v>0.1893362328077711</x:v>
      </x:c>
      <x:c r="H162" s="52" t="n">
        <x:f>G162*'Basis'!$D$7</x:f>
        <x:v>39.76060888963193</x:v>
      </x:c>
      <x:c r="I162" s="52" t="n">
        <x:f>H162*'Basis'!$D$8</x:f>
        <x:v>2226.594097819388</x:v>
      </x:c>
      <x:c r="J162" s="2" t="str">
        <x:v>livery</x:v>
      </x:c>
      <x:c r="K162" s="20" t="n">
        <x:v>1</x:v>
      </x:c>
      <x:c r="L162" s="11" t="str">
        <x:v>Fiscal allowance; repairs and replacements, not one outfit.</x:v>
      </x:c>
    </x:row>
    <x:row r="163" ht="38" customHeight="1">
      <x:c r="C163" s="2" t="str">
        <x:v>raw_hide</x:v>
      </x:c>
      <x:c r="D163" s="11" t="str">
        <x:v>Hides, leather and furs</x:v>
      </x:c>
      <x:c r="E163" s="11" t="str">
        <x:v>Raw cattle hide</x:v>
      </x:c>
      <x:c r="F163" s="11" t="str">
        <x:v>hide</x:v>
      </x:c>
      <x:c r="G163" s="51" t="n">
        <x:f>'Basis'!$F$97*K163</x:f>
        <x:v>0.1590424355585277</x:v>
      </x:c>
      <x:c r="H163" s="52" t="n">
        <x:f>G163*'Basis'!$D$7</x:f>
        <x:v>33.398911467290816</x:v>
      </x:c>
      <x:c r="I163" s="52" t="n">
        <x:f>H163*'Basis'!$D$8</x:f>
        <x:v>1870.3390421682857</x:v>
      </x:c>
      <x:c r="J163" s="2" t="str">
        <x:v>cattle</x:v>
      </x:c>
      <x:c r="K163" s="20" t="n">
        <x:v>0.12</x:v>
      </x:c>
      <x:c r="L163" s="11" t="str">
        <x:v>Fresh salted hide, about 30 sq ft.</x:v>
      </x:c>
    </x:row>
    <x:row r="164" ht="38" customHeight="1">
      <x:c r="C164" s="2" t="str">
        <x:v>leather_hide</x:v>
      </x:c>
      <x:c r="D164" s="11" t="str">
        <x:v>Hides, leather and furs</x:v>
      </x:c>
      <x:c r="E164" s="11" t="str">
        <x:v>Tanned cattle leather</x:v>
      </x:c>
      <x:c r="F164" s="11" t="str">
        <x:v>hide, about 30 sq ft</x:v>
      </x:c>
      <x:c r="G164" s="51" t="n">
        <x:f>'Basis'!$F$97*K164</x:f>
        <x:v>0.39760608889631927</x:v>
      </x:c>
      <x:c r="H164" s="52" t="n">
        <x:f>G164*'Basis'!$D$7</x:f>
        <x:v>83.49727866822704</x:v>
      </x:c>
      <x:c r="I164" s="52" t="n">
        <x:f>H164*'Basis'!$D$8</x:f>
        <x:v>4675.847605420714</x:v>
      </x:c>
      <x:c r="J164" s="2" t="str">
        <x:v>cattle</x:v>
      </x:c>
      <x:c r="K164" s="20" t="n">
        <x:v>0.3</x:v>
      </x:c>
      <x:c r="L164" s="11" t="str">
        <x:v>Ordinary finished hide.</x:v>
      </x:c>
    </x:row>
    <x:row r="165" ht="38" customHeight="1">
      <x:c r="C165" s="2" t="str">
        <x:v>leather_sqft</x:v>
      </x:c>
      <x:c r="D165" s="11" t="str">
        <x:v>Hides, leather and furs</x:v>
      </x:c>
      <x:c r="E165" s="11" t="str">
        <x:v>Tanned cattle leather</x:v>
      </x:c>
      <x:c r="F165" s="11" t="str">
        <x:v>square foot</x:v>
      </x:c>
      <x:c r="G165" s="51" t="n">
        <x:f>'Basis'!$F$97*K165</x:f>
        <x:v>0.013253536296543975</x:v>
      </x:c>
      <x:c r="H165" s="52" t="n">
        <x:f>G165*'Basis'!$D$7</x:f>
        <x:v>2.783242622274235</x:v>
      </x:c>
      <x:c r="I165" s="52" t="n">
        <x:f>H165*'Basis'!$D$8</x:f>
        <x:v>155.86158684735716</x:v>
      </x:c>
      <x:c r="J165" s="2" t="str">
        <x:v>cattle</x:v>
      </x:c>
      <x:c r="K165" s="20" t="n">
        <x:v>0.01</x:v>
      </x:c>
      <x:c r="L165" s="11" t="str">
        <x:v>Cutting stock; whole-hide equivalent.</x:v>
      </x:c>
    </x:row>
    <x:row r="166" ht="38" customHeight="1">
      <x:c r="C166" s="2" t="str">
        <x:v>sheepskin</x:v>
      </x:c>
      <x:c r="D166" s="11" t="str">
        <x:v>Hides, leather and furs</x:v>
      </x:c>
      <x:c r="E166" s="11" t="str">
        <x:v>Dressed sheepskin</x:v>
      </x:c>
      <x:c r="F166" s="11" t="str">
        <x:v>skin</x:v>
      </x:c>
      <x:c r="G166" s="51" t="n">
        <x:f>'Basis'!$F$73*K166</x:f>
        <x:v>0.06311207760259036</x:v>
      </x:c>
      <x:c r="H166" s="52" t="n">
        <x:f>G166*'Basis'!$D$7</x:f>
        <x:v>13.253536296543974</x:v>
      </x:c>
      <x:c r="I166" s="52" t="n">
        <x:f>H166*'Basis'!$D$8</x:f>
        <x:v>742.1980326064626</x:v>
      </x:c>
      <x:c r="J166" s="2" t="str">
        <x:v>sheep</x:v>
      </x:c>
      <x:c r="K166" s="20" t="n">
        <x:v>0.2</x:v>
      </x:c>
      <x:c r="L166" s="11" t="str">
        <x:v>Wool retained.</x:v>
      </x:c>
    </x:row>
    <x:row r="167" ht="38" customHeight="1">
      <x:c r="C167" s="2" t="str">
        <x:v>goatskin</x:v>
      </x:c>
      <x:c r="D167" s="11" t="str">
        <x:v>Hides, leather and furs</x:v>
      </x:c>
      <x:c r="E167" s="11" t="str">
        <x:v>Dressed goatskin</x:v>
      </x:c>
      <x:c r="F167" s="11" t="str">
        <x:v>skin</x:v>
      </x:c>
      <x:c r="G167" s="51" t="n">
        <x:f>'Basis'!$F$73*K167</x:f>
        <x:v>0.05680086984233132</x:v>
      </x:c>
      <x:c r="H167" s="52" t="n">
        <x:f>G167*'Basis'!$D$7</x:f>
        <x:v>11.928182666889578</x:v>
      </x:c>
      <x:c r="I167" s="52" t="n">
        <x:f>H167*'Basis'!$D$8</x:f>
        <x:v>667.9782293458163</x:v>
      </x:c>
      <x:c r="J167" s="2" t="str">
        <x:v>sheep</x:v>
      </x:c>
      <x:c r="K167" s="20" t="n">
        <x:v>0.18</x:v>
      </x:c>
      <x:c r="L167" s="11" t="str">
        <x:v>Leather grade.</x:v>
      </x:c>
    </x:row>
    <x:row r="168" ht="38" customHeight="1">
      <x:c r="C168" s="2" t="str">
        <x:v>rabbit_pelt</x:v>
      </x:c>
      <x:c r="D168" s="11" t="str">
        <x:v>Hides, leather and furs</x:v>
      </x:c>
      <x:c r="E168" s="11" t="str">
        <x:v>Dressed rabbit pelt</x:v>
      </x:c>
      <x:c r="F168" s="11" t="str">
        <x:v>skin</x:v>
      </x:c>
      <x:c r="G168" s="51" t="n">
        <x:f>'Basis'!$F$73*K168</x:f>
        <x:v>0.012622415520518071</x:v>
      </x:c>
      <x:c r="H168" s="52" t="n">
        <x:f>G168*'Basis'!$D$7</x:f>
        <x:v>2.650707259308795</x:v>
      </x:c>
      <x:c r="I168" s="52" t="n">
        <x:f>H168*'Basis'!$D$8</x:f>
        <x:v>148.43960652129252</x:v>
      </x:c>
      <x:c r="J168" s="2" t="str">
        <x:v>sheep</x:v>
      </x:c>
      <x:c r="K168" s="20" t="n">
        <x:v>0.04</x:v>
      </x:c>
      <x:c r="L168" s="11" t="str">
        <x:v>Ordinary sound pelt.</x:v>
      </x:c>
    </x:row>
    <x:row r="169" ht="38" customHeight="1">
      <x:c r="C169" s="2" t="str">
        <x:v>fox_pelt</x:v>
      </x:c>
      <x:c r="D169" s="11" t="str">
        <x:v>Hides, leather and furs</x:v>
      </x:c>
      <x:c r="E169" s="11" t="str">
        <x:v>Dressed fox pelt</x:v>
      </x:c>
      <x:c r="F169" s="11" t="str">
        <x:v>skin</x:v>
      </x:c>
      <x:c r="G169" s="51" t="n">
        <x:f>'Basis'!$F$73*K169</x:f>
        <x:v>0.1577801940064759</x:v>
      </x:c>
      <x:c r="H169" s="52" t="n">
        <x:f>G169*'Basis'!$D$7</x:f>
        <x:v>33.13384074135994</x:v>
      </x:c>
      <x:c r="I169" s="52" t="n">
        <x:f>H169*'Basis'!$D$8</x:f>
        <x:v>1855.4950815161567</x:v>
      </x:c>
      <x:c r="J169" s="2" t="str">
        <x:v>sheep</x:v>
      </x:c>
      <x:c r="K169" s="20" t="n">
        <x:v>0.5</x:v>
      </x:c>
      <x:c r="L169" s="11" t="str">
        <x:v>Ordinary winter pelt.</x:v>
      </x:c>
    </x:row>
    <x:row r="170" ht="38" customHeight="1">
      <x:c r="C170" s="2" t="str">
        <x:v>wolf_pelt</x:v>
      </x:c>
      <x:c r="D170" s="11" t="str">
        <x:v>Hides, leather and furs</x:v>
      </x:c>
      <x:c r="E170" s="11" t="str">
        <x:v>Dressed wolf pelt</x:v>
      </x:c>
      <x:c r="F170" s="11" t="str">
        <x:v>skin</x:v>
      </x:c>
      <x:c r="G170" s="51" t="n">
        <x:f>'Basis'!$F$73*K170</x:f>
        <x:v>0.44178454321813243</x:v>
      </x:c>
      <x:c r="H170" s="52" t="n">
        <x:f>G170*'Basis'!$D$7</x:f>
        <x:v>92.7747540758078</x:v>
      </x:c>
      <x:c r="I170" s="52" t="n">
        <x:f>H170*'Basis'!$D$8</x:f>
        <x:v>5195.386228245237</x:v>
      </x:c>
      <x:c r="J170" s="2" t="str">
        <x:v>sheep</x:v>
      </x:c>
      <x:c r="K170" s="20" t="n">
        <x:v>1.4</x:v>
      </x:c>
      <x:c r="L170" s="11" t="str">
        <x:v>Ordinary sound winter pelt.</x:v>
      </x:c>
    </x:row>
    <x:row r="171" ht="38" customHeight="1">
      <x:c r="C171" s="2" t="str">
        <x:v>bear_pelt</x:v>
      </x:c>
      <x:c r="D171" s="11" t="str">
        <x:v>Hides, leather and furs</x:v>
      </x:c>
      <x:c r="E171" s="11" t="str">
        <x:v>Dressed bear pelt</x:v>
      </x:c>
      <x:c r="F171" s="11" t="str">
        <x:v>skin</x:v>
      </x:c>
      <x:c r="G171" s="51" t="n">
        <x:f>'Basis'!$F$73*K171</x:f>
        <x:v>1.262241552051807</x:v>
      </x:c>
      <x:c r="H171" s="52" t="n">
        <x:f>G171*'Basis'!$D$7</x:f>
        <x:v>265.0707259308795</x:v>
      </x:c>
      <x:c r="I171" s="52" t="n">
        <x:f>H171*'Basis'!$D$8</x:f>
        <x:v>14843.960652129254</x:v>
      </x:c>
      <x:c r="J171" s="2" t="str">
        <x:v>sheep</x:v>
      </x:c>
      <x:c r="K171" s="20" t="n">
        <x:v>4</x:v>
      </x:c>
      <x:c r="L171" s="11" t="str">
        <x:v>Full hide.</x:v>
      </x:c>
    </x:row>
    <x:row r="172" ht="38" customHeight="1">
      <x:c r="C172" s="2" t="str">
        <x:v>sable_pelt</x:v>
      </x:c>
      <x:c r="D172" s="11" t="str">
        <x:v>Hides, leather and furs</x:v>
      </x:c>
      <x:c r="E172" s="11" t="str">
        <x:v>Fine sable pelt</x:v>
      </x:c>
      <x:c r="F172" s="11" t="str">
        <x:v>skin</x:v>
      </x:c>
      <x:c r="G172" s="51" t="n">
        <x:f>'Basis'!$F$73*K172</x:f>
        <x:v>0.8835690864362649</x:v>
      </x:c>
      <x:c r="H172" s="52" t="n">
        <x:f>G172*'Basis'!$D$7</x:f>
        <x:v>185.5495081516156</x:v>
      </x:c>
      <x:c r="I172" s="52" t="n">
        <x:f>H172*'Basis'!$D$8</x:f>
        <x:v>10390.772456490475</x:v>
      </x:c>
      <x:c r="J172" s="2" t="str">
        <x:v>sheep</x:v>
      </x:c>
      <x:c r="K172" s="20" t="n">
        <x:v>2.8</x:v>
      </x:c>
      <x:c r="L172" s="11" t="str">
        <x:v>Landed high-grade fur.</x:v>
      </x:c>
    </x:row>
    <x:row r="173" ht="38" customHeight="1">
      <x:c r="C173" s="2" t="str">
        <x:v>deerskin</x:v>
      </x:c>
      <x:c r="D173" s="11" t="str">
        <x:v>Hides, leather and furs</x:v>
      </x:c>
      <x:c r="E173" s="11" t="str">
        <x:v>Dressed deerskin</x:v>
      </x:c>
      <x:c r="F173" s="11" t="str">
        <x:v>skin</x:v>
      </x:c>
      <x:c r="G173" s="51" t="n">
        <x:f>'Basis'!$F$73*K173</x:f>
        <x:v>0.18933623280777107</x:v>
      </x:c>
      <x:c r="H173" s="52" t="n">
        <x:f>G173*'Basis'!$D$7</x:f>
        <x:v>39.760608889631925</x:v>
      </x:c>
      <x:c r="I173" s="52" t="n">
        <x:f>H173*'Basis'!$D$8</x:f>
        <x:v>2226.5940978193876</x:v>
      </x:c>
      <x:c r="J173" s="2" t="str">
        <x:v>sheep</x:v>
      </x:c>
      <x:c r="K173" s="20" t="n">
        <x:v>0.6</x:v>
      </x:c>
      <x:c r="L173" s="11" t="str">
        <x:v>Supple finished skin.</x:v>
      </x:c>
    </x:row>
    <x:row r="174" ht="38" customHeight="1">
      <x:c r="C174" s="2" t="str">
        <x:v>leather_bag</x:v>
      </x:c>
      <x:c r="D174" s="11" t="str">
        <x:v>Hides, leather and furs</x:v>
      </x:c>
      <x:c r="E174" s="11" t="str">
        <x:v>Leather shoulder bag</x:v>
      </x:c>
      <x:c r="F174" s="11" t="str">
        <x:v>each</x:v>
      </x:c>
      <x:c r="G174" s="51" t="n">
        <x:f>'Basis'!$F$85*K174</x:f>
        <x:v>0.04733405820194277</x:v>
      </x:c>
      <x:c r="H174" s="52" t="n">
        <x:f>G174*'Basis'!$D$7</x:f>
        <x:v>9.940152222407983</x:v>
      </x:c>
      <x:c r="I174" s="52" t="n">
        <x:f>H174*'Basis'!$D$8</x:f>
        <x:v>556.648524454847</x:v>
      </x:c>
      <x:c r="J174" s="2" t="str">
        <x:v>livery</x:v>
      </x:c>
      <x:c r="K174" s="20" t="n">
        <x:v>0.25</x:v>
      </x:c>
      <x:c r="L174" s="11" t="str">
        <x:v>Simple bag and strap.</x:v>
      </x:c>
    </x:row>
    <x:row r="175" ht="38" customHeight="1">
      <x:c r="C175" s="2" t="str">
        <x:v>waterskin</x:v>
      </x:c>
      <x:c r="D175" s="11" t="str">
        <x:v>Hides, leather and furs</x:v>
      </x:c>
      <x:c r="E175" s="11" t="str">
        <x:v>Leather waterskin</x:v>
      </x:c>
      <x:c r="F175" s="11" t="str">
        <x:v>1-gallon capacity</x:v>
      </x:c>
      <x:c r="G175" s="51" t="n">
        <x:f>'Basis'!$F$85*K175</x:f>
        <x:v>0.03786724656155422</x:v>
      </x:c>
      <x:c r="H175" s="52" t="n">
        <x:f>G175*'Basis'!$D$7</x:f>
        <x:v>7.952121777926386</x:v>
      </x:c>
      <x:c r="I175" s="52" t="n">
        <x:f>H175*'Basis'!$D$8</x:f>
        <x:v>445.31881956387764</x:v>
      </x:c>
      <x:c r="J175" s="2" t="str">
        <x:v>livery</x:v>
      </x:c>
      <x:c r="K175" s="20" t="n">
        <x:v>0.2</x:v>
      </x:c>
      <x:c r="L175" s="11" t="str">
        <x:v>Sound lined or treated skin.</x:v>
      </x:c>
    </x:row>
    <x:row r="176" ht="38" customHeight="1">
      <x:c r="C176" s="2" t="str">
        <x:v>timber</x:v>
      </x:c>
      <x:c r="D176" s="11" t="str">
        <x:v>Timber and fuel</x:v>
      </x:c>
      <x:c r="E176" s="11" t="str">
        <x:v>Dressed ordinary timber</x:v>
      </x:c>
      <x:c r="F176" s="11" t="str">
        <x:v>cartload, 30 cu ft</x:v>
      </x:c>
      <x:c r="G176" s="51" t="n">
        <x:f>'Basis'!$F$99*K176</x:f>
        <x:v>0.3786724656155422</x:v>
      </x:c>
      <x:c r="H176" s="52" t="n">
        <x:f>G176*'Basis'!$D$7</x:f>
        <x:v>79.52121777926386</x:v>
      </x:c>
      <x:c r="I176" s="52" t="n">
        <x:f>H176*'Basis'!$D$8</x:f>
        <x:v>4453.188195638776</x:v>
      </x:c>
      <x:c r="J176" s="2" t="str">
        <x:v>timber</x:v>
      </x:c>
      <x:c r="K176" s="20" t="n">
        <x:v>1</x:v>
      </x:c>
      <x:c r="L176" s="11" t="str">
        <x:v>Local delivery included; volume defined for this price book. Fiscal anchor.</x:v>
      </x:c>
    </x:row>
    <x:row r="177" ht="38" customHeight="1">
      <x:c r="C177" s="2" t="str">
        <x:v>timber_cuft</x:v>
      </x:c>
      <x:c r="D177" s="11" t="str">
        <x:v>Timber and fuel</x:v>
      </x:c>
      <x:c r="E177" s="11" t="str">
        <x:v>Dressed ordinary timber</x:v>
      </x:c>
      <x:c r="F177" s="11" t="str">
        <x:v>cubic foot</x:v>
      </x:c>
      <x:c r="G177" s="51" t="n">
        <x:f>'Basis'!$F$99*K177</x:f>
        <x:v>0.012622415520518073</x:v>
      </x:c>
      <x:c r="H177" s="52" t="n">
        <x:f>G177*'Basis'!$D$7</x:f>
        <x:v>2.6507072593087955</x:v>
      </x:c>
      <x:c r="I177" s="52" t="n">
        <x:f>H177*'Basis'!$D$8</x:f>
        <x:v>148.43960652129255</x:v>
      </x:c>
      <x:c r="J177" s="2" t="str">
        <x:v>timber</x:v>
      </x:c>
      <x:c r="K177" s="20" t="n">
        <x:v>0.03333333333333333</x:v>
      </x:c>
      <x:c r="L177" s="11" t="str">
        <x:v>Same grade and local delivery basis as cartload.</x:v>
      </x:c>
    </x:row>
    <x:row r="178" ht="38" customHeight="1">
      <x:c r="C178" s="2" t="str">
        <x:v>oak</x:v>
      </x:c>
      <x:c r="D178" s="11" t="str">
        <x:v>Timber and fuel</x:v>
      </x:c>
      <x:c r="E178" s="11" t="str">
        <x:v>Seasoned oak</x:v>
      </x:c>
      <x:c r="F178" s="11" t="str">
        <x:v>cartload, 30 cu ft</x:v>
      </x:c>
      <x:c r="G178" s="51" t="n">
        <x:f>'Basis'!$F$99*K178</x:f>
        <x:v>0.6437431915464217</x:v>
      </x:c>
      <x:c r="H178" s="52" t="n">
        <x:f>G178*'Basis'!$D$7</x:f>
        <x:v>135.18607022474856</x:v>
      </x:c>
      <x:c r="I178" s="52" t="n">
        <x:f>H178*'Basis'!$D$8</x:f>
        <x:v>7570.419932585919</x:v>
      </x:c>
      <x:c r="J178" s="2" t="str">
        <x:v>timber</x:v>
      </x:c>
      <x:c r="K178" s="20" t="n">
        <x:v>1.7</x:v>
      </x:c>
      <x:c r="L178" s="11" t="str">
        <x:v>Selected sound structural timber.</x:v>
      </x:c>
    </x:row>
    <x:row r="179" ht="38" customHeight="1">
      <x:c r="C179" s="2" t="str">
        <x:v>oak_cuft</x:v>
      </x:c>
      <x:c r="D179" s="11" t="str">
        <x:v>Timber and fuel</x:v>
      </x:c>
      <x:c r="E179" s="11" t="str">
        <x:v>Seasoned oak</x:v>
      </x:c>
      <x:c r="F179" s="11" t="str">
        <x:v>cubic foot</x:v>
      </x:c>
      <x:c r="G179" s="51" t="n">
        <x:f>'Basis'!$F$99*K179</x:f>
        <x:v>0.021458106384880722</x:v>
      </x:c>
      <x:c r="H179" s="52" t="n">
        <x:f>G179*'Basis'!$D$7</x:f>
        <x:v>4.506202340824951</x:v>
      </x:c>
      <x:c r="I179" s="52" t="n">
        <x:f>H179*'Basis'!$D$8</x:f>
        <x:v>252.34733108619727</x:v>
      </x:c>
      <x:c r="J179" s="2" t="str">
        <x:v>timber</x:v>
      </x:c>
      <x:c r="K179" s="20" t="n">
        <x:v>0.056666666666666664</x:v>
      </x:c>
      <x:c r="L179" s="11" t="str">
        <x:v>Same grade as cartload.</x:v>
      </x:c>
    </x:row>
    <x:row r="180" ht="38" customHeight="1">
      <x:c r="C180" s="2" t="str">
        <x:v>plank</x:v>
      </x:c>
      <x:c r="D180" s="11" t="str">
        <x:v>Timber and fuel</x:v>
      </x:c>
      <x:c r="E180" s="11" t="str">
        <x:v>Sawn planking</x:v>
      </x:c>
      <x:c r="F180" s="11" t="str">
        <x:v>100 board feet</x:v>
      </x:c>
      <x:c r="G180" s="51" t="n">
        <x:f>'Basis'!$F$99*K180</x:f>
        <x:v>0.15146898624621688</x:v>
      </x:c>
      <x:c r="H180" s="52" t="n">
        <x:f>G180*'Basis'!$D$7</x:f>
        <x:v>31.808487111705546</x:v>
      </x:c>
      <x:c r="I180" s="52" t="n">
        <x:f>H180*'Basis'!$D$8</x:f>
        <x:v>1781.2752782555106</x:v>
      </x:c>
      <x:c r="J180" s="2" t="str">
        <x:v>timber</x:v>
      </x:c>
      <x:c r="K180" s="20" t="n">
        <x:v>0.4</x:v>
      </x:c>
      <x:c r="L180" s="11" t="str">
        <x:v>100 sq ft at 1-inch thickness; wastage and sawing included.</x:v>
      </x:c>
    </x:row>
    <x:row r="181" ht="38" customHeight="1">
      <x:c r="C181" s="2" t="str">
        <x:v>mast_log</x:v>
      </x:c>
      <x:c r="D181" s="11" t="str">
        <x:v>Timber and fuel</x:v>
      </x:c>
      <x:c r="E181" s="11" t="str">
        <x:v>Straight mast timber</x:v>
      </x:c>
      <x:c r="F181" s="11" t="str">
        <x:v>log, about 60 cu ft</x:v>
      </x:c>
      <x:c r="G181" s="51" t="n">
        <x:f>'Basis'!$F$99*K181</x:f>
        <x:v>1.5146898624621687</x:v>
      </x:c>
      <x:c r="H181" s="52" t="n">
        <x:f>G181*'Basis'!$D$7</x:f>
        <x:v>318.08487111705546</x:v>
      </x:c>
      <x:c r="I181" s="52" t="n">
        <x:f>H181*'Basis'!$D$8</x:f>
        <x:v>17812.752782555104</x:v>
      </x:c>
      <x:c r="J181" s="2" t="str">
        <x:v>timber</x:v>
      </x:c>
      <x:c r="K181" s="20" t="n">
        <x:v>4</x:v>
      </x:c>
      <x:c r="L181" s="11" t="str">
        <x:v>Selected spar timber, unstepped.</x:v>
      </x:c>
    </x:row>
    <x:row r="182" ht="38" customHeight="1">
      <x:c r="C182" s="2" t="str">
        <x:v>firewood</x:v>
      </x:c>
      <x:c r="D182" s="11" t="str">
        <x:v>Timber and fuel</x:v>
      </x:c>
      <x:c r="E182" s="11" t="str">
        <x:v>Seasoned firewood</x:v>
      </x:c>
      <x:c r="F182" s="11" t="str">
        <x:v>stacked cord, 128 cu ft</x:v>
      </x:c>
      <x:c r="G182" s="51" t="n">
        <x:f>'Basis'!$F$99*K182</x:f>
        <x:v>0.170402609526994</x:v>
      </x:c>
      <x:c r="H182" s="52" t="n">
        <x:f>G182*'Basis'!$D$7</x:f>
        <x:v>35.784548000668735</x:v>
      </x:c>
      <x:c r="I182" s="52" t="n">
        <x:f>H182*'Basis'!$D$8</x:f>
        <x:v>2003.9346880374492</x:v>
      </x:c>
      <x:c r="J182" s="2" t="str">
        <x:v>timber</x:v>
      </x:c>
      <x:c r="K182" s="20" t="n">
        <x:v>0.45</x:v>
      </x:c>
      <x:c r="L182" s="11" t="str">
        <x:v>Stacked volume includes air spaces; local delivery.</x:v>
      </x:c>
    </x:row>
    <x:row r="183" ht="38" customHeight="1">
      <x:c r="C183" s="2" t="str">
        <x:v>charcoal</x:v>
      </x:c>
      <x:c r="D183" s="11" t="str">
        <x:v>Timber and fuel</x:v>
      </x:c>
      <x:c r="E183" s="11" t="str">
        <x:v>Charcoal</x:v>
      </x:c>
      <x:c r="F183" s="11" t="str">
        <x:v>sack, 56 lb</x:v>
      </x:c>
      <x:c r="G183" s="51" t="n">
        <x:f>'Basis'!$F$99*K183</x:f>
        <x:v>0.030293797249243377</x:v>
      </x:c>
      <x:c r="H183" s="52" t="n">
        <x:f>G183*'Basis'!$D$7</x:f>
        <x:v>6.361697422341109</x:v>
      </x:c>
      <x:c r="I183" s="52" t="n">
        <x:f>H183*'Basis'!$D$8</x:f>
        <x:v>356.2550556511021</x:v>
      </x:c>
      <x:c r="J183" s="2" t="str">
        <x:v>timber</x:v>
      </x:c>
      <x:c r="K183" s="20" t="n">
        <x:v>0.08</x:v>
      </x:c>
      <x:c r="L183" s="11" t="str">
        <x:v>Dry smithing or household fuel.</x:v>
      </x:c>
    </x:row>
    <x:row r="184" ht="38" customHeight="1">
      <x:c r="C184" s="2" t="str">
        <x:v>peat</x:v>
      </x:c>
      <x:c r="D184" s="11" t="str">
        <x:v>Timber and fuel</x:v>
      </x:c>
      <x:c r="E184" s="11" t="str">
        <x:v>Dried peat</x:v>
      </x:c>
      <x:c r="F184" s="11" t="str">
        <x:v>cartload, 1,000 lb</x:v>
      </x:c>
      <x:c r="G184" s="51" t="n">
        <x:f>'Basis'!$F$99*K184</x:f>
        <x:v>0.06816104381079759</x:v>
      </x:c>
      <x:c r="H184" s="52" t="n">
        <x:f>G184*'Basis'!$D$7</x:f>
        <x:v>14.313819200267494</x:v>
      </x:c>
      <x:c r="I184" s="52" t="n">
        <x:f>H184*'Basis'!$D$8</x:f>
        <x:v>801.5738752149797</x:v>
      </x:c>
      <x:c r="J184" s="2" t="str">
        <x:v>timber</x:v>
      </x:c>
      <x:c r="K184" s="20" t="n">
        <x:v>0.18</x:v>
      </x:c>
      <x:c r="L184" s="11" t="str">
        <x:v>Local delivery.</x:v>
      </x:c>
    </x:row>
    <x:row r="185" ht="38" customHeight="1">
      <x:c r="C185" s="2" t="str">
        <x:v>pitch</x:v>
      </x:c>
      <x:c r="D185" s="11" t="str">
        <x:v>Timber and fuel</x:v>
      </x:c>
      <x:c r="E185" s="11" t="str">
        <x:v>Pitch</x:v>
      </x:c>
      <x:c r="F185" s="11" t="str">
        <x:v>stone (14 lb)</x:v>
      </x:c>
      <x:c r="G185" s="51" t="n">
        <x:f>'Basis'!$F$99*K185</x:f>
        <x:v>0.04544069587386506</x:v>
      </x:c>
      <x:c r="H185" s="52" t="n">
        <x:f>G185*'Basis'!$D$7</x:f>
        <x:v>9.542546133511662</x:v>
      </x:c>
      <x:c r="I185" s="52" t="n">
        <x:f>H185*'Basis'!$D$8</x:f>
        <x:v>534.382583476653</x:v>
      </x:c>
      <x:c r="J185" s="2" t="str">
        <x:v>timber</x:v>
      </x:c>
      <x:c r="K185" s="20" t="n">
        <x:v>0.12</x:v>
      </x:c>
      <x:c r="L185" s="11" t="str">
        <x:v>Ship and roof grade.</x:v>
      </x:c>
    </x:row>
    <x:row r="186" ht="38" customHeight="1">
      <x:c r="C186" s="2" t="str">
        <x:v>tar</x:v>
      </x:c>
      <x:c r="D186" s="11" t="str">
        <x:v>Timber and fuel</x:v>
      </x:c>
      <x:c r="E186" s="11" t="str">
        <x:v>Wood tar</x:v>
      </x:c>
      <x:c r="F186" s="11" t="str">
        <x:v>gallon</x:v>
      </x:c>
      <x:c r="G186" s="51" t="n">
        <x:f>'Basis'!$F$99*K186</x:f>
        <x:v>0.03786724656155422</x:v>
      </x:c>
      <x:c r="H186" s="52" t="n">
        <x:f>G186*'Basis'!$D$7</x:f>
        <x:v>7.952121777926386</x:v>
      </x:c>
      <x:c r="I186" s="52" t="n">
        <x:f>H186*'Basis'!$D$8</x:f>
        <x:v>445.31881956387764</x:v>
      </x:c>
      <x:c r="J186" s="2" t="str">
        <x:v>timber</x:v>
      </x:c>
      <x:c r="K186" s="20" t="n">
        <x:v>0.1</x:v>
      </x:c>
      <x:c r="L186" s="11" t="str">
        <x:v>Ordinary workshop grade.</x:v>
      </x:c>
    </x:row>
    <x:row r="187" ht="38" customHeight="1">
      <x:c r="C187" s="2" t="str">
        <x:v>resin</x:v>
      </x:c>
      <x:c r="D187" s="11" t="str">
        <x:v>Timber and fuel</x:v>
      </x:c>
      <x:c r="E187" s="11" t="str">
        <x:v>Pine resin</x:v>
      </x:c>
      <x:c r="F187" s="11" t="str">
        <x:v>stone (14 lb)</x:v>
      </x:c>
      <x:c r="G187" s="51" t="n">
        <x:f>'Basis'!$F$99*K187</x:f>
        <x:v>0.03786724656155422</x:v>
      </x:c>
      <x:c r="H187" s="52" t="n">
        <x:f>G187*'Basis'!$D$7</x:f>
        <x:v>7.952121777926386</x:v>
      </x:c>
      <x:c r="I187" s="52" t="n">
        <x:f>H187*'Basis'!$D$8</x:f>
        <x:v>445.31881956387764</x:v>
      </x:c>
      <x:c r="J187" s="2" t="str">
        <x:v>timber</x:v>
      </x:c>
      <x:c r="K187" s="20" t="n">
        <x:v>0.1</x:v>
      </x:c>
      <x:c r="L187" s="11" t="str">
        <x:v>Unrefined clean resin.</x:v>
      </x:c>
    </x:row>
    <x:row r="188" ht="38" customHeight="1">
      <x:c r="C188" s="2" t="str">
        <x:v>shingles</x:v>
      </x:c>
      <x:c r="D188" s="11" t="str">
        <x:v>Timber and fuel</x:v>
      </x:c>
      <x:c r="E188" s="11" t="str">
        <x:v>Wood roof shingles</x:v>
      </x:c>
      <x:c r="F188" s="11" t="str">
        <x:v>100 pieces</x:v>
      </x:c>
      <x:c r="G188" s="51" t="n">
        <x:f>'Basis'!$F$99*K188</x:f>
        <x:v>0.05680086984233133</x:v>
      </x:c>
      <x:c r="H188" s="52" t="n">
        <x:f>G188*'Basis'!$D$7</x:f>
        <x:v>11.928182666889578</x:v>
      </x:c>
      <x:c r="I188" s="52" t="n">
        <x:f>H188*'Basis'!$D$8</x:f>
        <x:v>667.9782293458163</x:v>
      </x:c>
      <x:c r="J188" s="2" t="str">
        <x:v>timber</x:v>
      </x:c>
      <x:c r="K188" s="20" t="n">
        <x:v>0.15</x:v>
      </x:c>
      <x:c r="L188" s="11" t="str">
        <x:v>About 50 sq ft roof coverage before overlap allowance.</x:v>
      </x:c>
    </x:row>
    <x:row r="189" ht="38" customHeight="1">
      <x:c r="C189" s="2" t="str">
        <x:v>rubble</x:v>
      </x:c>
      <x:c r="D189" s="11" t="str">
        <x:v>Stone, clay and glass</x:v>
      </x:c>
      <x:c r="E189" s="11" t="str">
        <x:v>Building rubble stone</x:v>
      </x:c>
      <x:c r="F189" s="11" t="str">
        <x:v>long ton</x:v>
      </x:c>
      <x:c r="G189" s="51" t="n">
        <x:f>'Basis'!$F$99*K189</x:f>
        <x:v>0.2272034793693253</x:v>
      </x:c>
      <x:c r="H189" s="52" t="n">
        <x:f>G189*'Basis'!$D$7</x:f>
        <x:v>47.71273066755831</x:v>
      </x:c>
      <x:c r="I189" s="52" t="n">
        <x:f>H189*'Basis'!$D$8</x:f>
        <x:v>2671.9129173832653</x:v>
      </x:c>
      <x:c r="J189" s="2" t="str">
        <x:v>timber</x:v>
      </x:c>
      <x:c r="K189" s="20" t="n">
        <x:v>0.6</x:v>
      </x:c>
      <x:c r="L189" s="11" t="str">
        <x:v>Quarry price plus short local cartage.</x:v>
      </x:c>
    </x:row>
    <x:row r="190" ht="38" customHeight="1">
      <x:c r="C190" s="2" t="str">
        <x:v>cut_stone</x:v>
      </x:c>
      <x:c r="D190" s="11" t="str">
        <x:v>Stone, clay and glass</x:v>
      </x:c>
      <x:c r="E190" s="11" t="str">
        <x:v>Dressed building stone</x:v>
      </x:c>
      <x:c r="F190" s="11" t="str">
        <x:v>long ton</x:v>
      </x:c>
      <x:c r="G190" s="51" t="n">
        <x:f>'Basis'!$F$99*K190</x:f>
        <x:v>0.9088139174773012</x:v>
      </x:c>
      <x:c r="H190" s="52" t="n">
        <x:f>G190*'Basis'!$D$7</x:f>
        <x:v>190.85092267023325</x:v>
      </x:c>
      <x:c r="I190" s="52" t="n">
        <x:f>H190*'Basis'!$D$8</x:f>
        <x:v>10687.651669533061</x:v>
      </x:c>
      <x:c r="J190" s="2" t="str">
        <x:v>timber</x:v>
      </x:c>
      <x:c r="K190" s="20" t="n">
        <x:v>2.4</x:v>
      </x:c>
      <x:c r="L190" s="11" t="str">
        <x:v>Ordinary ashlar, not carved ornament.</x:v>
      </x:c>
    </x:row>
    <x:row r="191" ht="38" customHeight="1">
      <x:c r="C191" s="2" t="str">
        <x:v>gravel</x:v>
      </x:c>
      <x:c r="D191" s="11" t="str">
        <x:v>Stone, clay and glass</x:v>
      </x:c>
      <x:c r="E191" s="11" t="str">
        <x:v>Gravel</x:v>
      </x:c>
      <x:c r="F191" s="11" t="str">
        <x:v>long ton</x:v>
      </x:c>
      <x:c r="G191" s="51" t="n">
        <x:f>'Basis'!$F$99*K191</x:f>
        <x:v>0.11360173968466265</x:v>
      </x:c>
      <x:c r="H191" s="52" t="n">
        <x:f>G191*'Basis'!$D$7</x:f>
        <x:v>23.856365333779156</x:v>
      </x:c>
      <x:c r="I191" s="52" t="n">
        <x:f>H191*'Basis'!$D$8</x:f>
        <x:v>1335.9564586916326</x:v>
      </x:c>
      <x:c r="J191" s="2" t="str">
        <x:v>timber</x:v>
      </x:c>
      <x:c r="K191" s="20" t="n">
        <x:v>0.3</x:v>
      </x:c>
      <x:c r="L191" s="11" t="str">
        <x:v>Local pit and short cartage.</x:v>
      </x:c>
    </x:row>
    <x:row r="192" ht="38" customHeight="1">
      <x:c r="C192" s="2" t="str">
        <x:v>sand</x:v>
      </x:c>
      <x:c r="D192" s="11" t="str">
        <x:v>Stone, clay and glass</x:v>
      </x:c>
      <x:c r="E192" s="11" t="str">
        <x:v>Clean building sand</x:v>
      </x:c>
      <x:c r="F192" s="11" t="str">
        <x:v>long ton</x:v>
      </x:c>
      <x:c r="G192" s="51" t="n">
        <x:f>'Basis'!$F$99*K192</x:f>
        <x:v>0.13253536296543975</x:v>
      </x:c>
      <x:c r="H192" s="52" t="n">
        <x:f>G192*'Basis'!$D$7</x:f>
        <x:v>27.832426222742345</x:v>
      </x:c>
      <x:c r="I192" s="52" t="n">
        <x:f>H192*'Basis'!$D$8</x:f>
        <x:v>1558.6158684735713</x:v>
      </x:c>
      <x:c r="J192" s="2" t="str">
        <x:v>timber</x:v>
      </x:c>
      <x:c r="K192" s="20" t="n">
        <x:v>0.35</x:v>
      </x:c>
      <x:c r="L192" s="11" t="str">
        <x:v>Local pit and short cartage.</x:v>
      </x:c>
    </x:row>
    <x:row r="193" ht="38" customHeight="1">
      <x:c r="C193" s="2" t="str">
        <x:v>lime</x:v>
      </x:c>
      <x:c r="D193" s="11" t="str">
        <x:v>Stone, clay and glass</x:v>
      </x:c>
      <x:c r="E193" s="11" t="str">
        <x:v>Burnt lime</x:v>
      </x:c>
      <x:c r="F193" s="11" t="str">
        <x:v>long ton</x:v>
      </x:c>
      <x:c r="G193" s="51" t="n">
        <x:f>'Basis'!$F$99*K193</x:f>
        <x:v>0.9088139174773012</x:v>
      </x:c>
      <x:c r="H193" s="52" t="n">
        <x:f>G193*'Basis'!$D$7</x:f>
        <x:v>190.85092267023325</x:v>
      </x:c>
      <x:c r="I193" s="52" t="n">
        <x:f>H193*'Basis'!$D$8</x:f>
        <x:v>10687.651669533061</x:v>
      </x:c>
      <x:c r="J193" s="2" t="str">
        <x:v>timber</x:v>
      </x:c>
      <x:c r="K193" s="20" t="n">
        <x:v>2.4</x:v>
      </x:c>
      <x:c r="L193" s="11" t="str">
        <x:v>Dry quicklime, builder supply.</x:v>
      </x:c>
    </x:row>
    <x:row r="194" ht="38" customHeight="1">
      <x:c r="C194" s="2" t="str">
        <x:v>clay</x:v>
      </x:c>
      <x:c r="D194" s="11" t="str">
        <x:v>Stone, clay and glass</x:v>
      </x:c>
      <x:c r="E194" s="11" t="str">
        <x:v>Potter clay</x:v>
      </x:c>
      <x:c r="F194" s="11" t="str">
        <x:v>long ton</x:v>
      </x:c>
      <x:c r="G194" s="51" t="n">
        <x:f>'Basis'!$F$99*K194</x:f>
        <x:v>0.1893362328077711</x:v>
      </x:c>
      <x:c r="H194" s="52" t="n">
        <x:f>G194*'Basis'!$D$7</x:f>
        <x:v>39.76060888963193</x:v>
      </x:c>
      <x:c r="I194" s="52" t="n">
        <x:f>H194*'Basis'!$D$8</x:f>
        <x:v>2226.594097819388</x:v>
      </x:c>
      <x:c r="J194" s="2" t="str">
        <x:v>timber</x:v>
      </x:c>
      <x:c r="K194" s="20" t="n">
        <x:v>0.5</x:v>
      </x:c>
      <x:c r="L194" s="11" t="str">
        <x:v>Prepared ordinary clay.</x:v>
      </x:c>
    </x:row>
    <x:row r="195" ht="38" customHeight="1">
      <x:c r="C195" s="2" t="str">
        <x:v>brick</x:v>
      </x:c>
      <x:c r="D195" s="11" t="str">
        <x:v>Stone, clay and glass</x:v>
      </x:c>
      <x:c r="E195" s="11" t="str">
        <x:v>Fired building bricks</x:v>
      </x:c>
      <x:c r="F195" s="11" t="str">
        <x:v>1,000 bricks</x:v>
      </x:c>
      <x:c r="G195" s="51" t="n">
        <x:f>'Basis'!$F$99*K195</x:f>
        <x:v>1.211751889969735</x:v>
      </x:c>
      <x:c r="H195" s="52" t="n">
        <x:f>G195*'Basis'!$D$7</x:f>
        <x:v>254.46789689364437</x:v>
      </x:c>
      <x:c r="I195" s="52" t="n">
        <x:f>H195*'Basis'!$D$8</x:f>
        <x:v>14250.202226044084</x:v>
      </x:c>
      <x:c r="J195" s="2" t="str">
        <x:v>timber</x:v>
      </x:c>
      <x:c r="K195" s="20" t="n">
        <x:v>3.2</x:v>
      </x:c>
      <x:c r="L195" s="11" t="str">
        <x:v>Common bricks, unlaid.</x:v>
      </x:c>
    </x:row>
    <x:row r="196" ht="38" customHeight="1">
      <x:c r="C196" s="2" t="str">
        <x:v>roof_tile</x:v>
      </x:c>
      <x:c r="D196" s="11" t="str">
        <x:v>Stone, clay and glass</x:v>
      </x:c>
      <x:c r="E196" s="11" t="str">
        <x:v>Clay roof tiles</x:v>
      </x:c>
      <x:c r="F196" s="11" t="str">
        <x:v>1,000 tiles</x:v>
      </x:c>
      <x:c r="G196" s="51" t="n">
        <x:f>'Basis'!$F$99*K196</x:f>
        <x:v>1.7040260952699398</x:v>
      </x:c>
      <x:c r="H196" s="52" t="n">
        <x:f>G196*'Basis'!$D$7</x:f>
        <x:v>357.84548000668735</x:v>
      </x:c>
      <x:c r="I196" s="52" t="n">
        <x:f>H196*'Basis'!$D$8</x:f>
        <x:v>20039.34688037449</x:v>
      </x:c>
      <x:c r="J196" s="2" t="str">
        <x:v>timber</x:v>
      </x:c>
      <x:c r="K196" s="20" t="n">
        <x:v>4.5</x:v>
      </x:c>
      <x:c r="L196" s="11" t="str">
        <x:v>Ordinary tile, unlaid.</x:v>
      </x:c>
    </x:row>
    <x:row r="197" ht="38" customHeight="1">
      <x:c r="C197" s="2" t="str">
        <x:v>slate</x:v>
      </x:c>
      <x:c r="D197" s="11" t="str">
        <x:v>Stone, clay and glass</x:v>
      </x:c>
      <x:c r="E197" s="11" t="str">
        <x:v>Roofing slate</x:v>
      </x:c>
      <x:c r="F197" s="11" t="str">
        <x:v>100 sq ft coverage</x:v>
      </x:c>
      <x:c r="G197" s="51" t="n">
        <x:f>'Basis'!$F$99*K197</x:f>
        <x:v>0.4544069587386506</x:v>
      </x:c>
      <x:c r="H197" s="52" t="n">
        <x:f>G197*'Basis'!$D$7</x:f>
        <x:v>95.42546133511662</x:v>
      </x:c>
      <x:c r="I197" s="52" t="n">
        <x:f>H197*'Basis'!$D$8</x:f>
        <x:v>5343.8258347665305</x:v>
      </x:c>
      <x:c r="J197" s="2" t="str">
        <x:v>timber</x:v>
      </x:c>
      <x:c r="K197" s="20" t="n">
        <x:v>1.2</x:v>
      </x:c>
      <x:c r="L197" s="11" t="str">
        <x:v>Sorted slate, unlaid.</x:v>
      </x:c>
    </x:row>
    <x:row r="198" ht="38" customHeight="1">
      <x:c r="C198" s="2" t="str">
        <x:v>floor_tile</x:v>
      </x:c>
      <x:c r="D198" s="11" t="str">
        <x:v>Stone, clay and glass</x:v>
      </x:c>
      <x:c r="E198" s="11" t="str">
        <x:v>Plain floor tile</x:v>
      </x:c>
      <x:c r="F198" s="11" t="str">
        <x:v>100 sq ft coverage</x:v>
      </x:c>
      <x:c r="G198" s="51" t="n">
        <x:f>'Basis'!$F$99*K198</x:f>
        <x:v>0.7573449312310844</x:v>
      </x:c>
      <x:c r="H198" s="52" t="n">
        <x:f>G198*'Basis'!$D$7</x:f>
        <x:v>159.04243555852773</x:v>
      </x:c>
      <x:c r="I198" s="52" t="n">
        <x:f>H198*'Basis'!$D$8</x:f>
        <x:v>8906.376391277552</x:v>
      </x:c>
      <x:c r="J198" s="2" t="str">
        <x:v>timber</x:v>
      </x:c>
      <x:c r="K198" s="20" t="n">
        <x:v>2</x:v>
      </x:c>
      <x:c r="L198" s="11" t="str">
        <x:v>Unlaid.</x:v>
      </x:c>
    </x:row>
    <x:row r="199" ht="38" customHeight="1">
      <x:c r="C199" s="2" t="str">
        <x:v>glass_pane</x:v>
      </x:c>
      <x:c r="D199" s="11" t="str">
        <x:v>Stone, clay and glass</x:v>
      </x:c>
      <x:c r="E199" s="11" t="str">
        <x:v>Small clear glass pane</x:v>
      </x:c>
      <x:c r="F199" s="11" t="str">
        <x:v>1 sq ft</x:v>
      </x:c>
      <x:c r="G199" s="51" t="n">
        <x:f>'Basis'!$F$99*K199</x:f>
        <x:v>0.09466811640388555</x:v>
      </x:c>
      <x:c r="H199" s="52" t="n">
        <x:f>G199*'Basis'!$D$7</x:f>
        <x:v>19.880304444815966</x:v>
      </x:c>
      <x:c r="I199" s="52" t="n">
        <x:f>H199*'Basis'!$D$8</x:f>
        <x:v>1113.297048909694</x:v>
      </x:c>
      <x:c r="J199" s="2" t="str">
        <x:v>timber</x:v>
      </x:c>
      <x:c r="K199" s="20" t="n">
        <x:v>0.25</x:v>
      </x:c>
      <x:c r="L199" s="11" t="str">
        <x:v>Small imperfect window glass.</x:v>
      </x:c>
    </x:row>
    <x:row r="200" ht="38" customHeight="1">
      <x:c r="C200" s="2" t="str">
        <x:v>coloured_glass</x:v>
      </x:c>
      <x:c r="D200" s="11" t="str">
        <x:v>Stone, clay and glass</x:v>
      </x:c>
      <x:c r="E200" s="11" t="str">
        <x:v>Coloured glass</x:v>
      </x:c>
      <x:c r="F200" s="11" t="str">
        <x:v>1 sq ft</x:v>
      </x:c>
      <x:c r="G200" s="51" t="n">
        <x:f>'Basis'!$F$99*K200</x:f>
        <x:v>0.24613710265010244</x:v>
      </x:c>
      <x:c r="H200" s="52" t="n">
        <x:f>G200*'Basis'!$D$7</x:f>
        <x:v>51.688791556521515</x:v>
      </x:c>
      <x:c r="I200" s="52" t="n">
        <x:f>H200*'Basis'!$D$8</x:f>
        <x:v>2894.572327165205</x:v>
      </x:c>
      <x:c r="J200" s="2" t="str">
        <x:v>timber</x:v>
      </x:c>
      <x:c r="K200" s="20" t="n">
        <x:v>0.65</x:v>
      </x:c>
      <x:c r="L200" s="11" t="str">
        <x:v>Unleaded pieces.</x:v>
      </x:c>
    </x:row>
    <x:row r="201" ht="38" customHeight="1">
      <x:c r="C201" s="2" t="str">
        <x:v>glass_bottle</x:v>
      </x:c>
      <x:c r="D201" s="11" t="str">
        <x:v>Stone, clay and glass</x:v>
      </x:c>
      <x:c r="E201" s="11" t="str">
        <x:v>Glass bottle</x:v>
      </x:c>
      <x:c r="F201" s="11" t="str">
        <x:v>1-pint bottle</x:v>
      </x:c>
      <x:c r="G201" s="51" t="n">
        <x:f>'Basis'!$F$99*K201</x:f>
        <x:v>0.013253536296543978</x:v>
      </x:c>
      <x:c r="H201" s="52" t="n">
        <x:f>G201*'Basis'!$D$7</x:f>
        <x:v>2.7832426222742352</x:v>
      </x:c>
      <x:c r="I201" s="52" t="n">
        <x:f>H201*'Basis'!$D$8</x:f>
        <x:v>155.86158684735716</x:v>
      </x:c>
      <x:c r="J201" s="2" t="str">
        <x:v>timber</x:v>
      </x:c>
      <x:c r="K201" s="20" t="n">
        <x:v>0.035</x:v>
      </x:c>
      <x:c r="L201" s="11" t="str">
        <x:v>Empty ordinary bottle.</x:v>
      </x:c>
    </x:row>
    <x:row r="202" ht="38" customHeight="1">
      <x:c r="C202" s="2" t="str">
        <x:v>glass_goblet</x:v>
      </x:c>
      <x:c r="D202" s="11" t="str">
        <x:v>Stone, clay and glass</x:v>
      </x:c>
      <x:c r="E202" s="11" t="str">
        <x:v>Plain glass goblet</x:v>
      </x:c>
      <x:c r="F202" s="11" t="str">
        <x:v>each</x:v>
      </x:c>
      <x:c r="G202" s="51" t="n">
        <x:f>'Basis'!$F$99*K202</x:f>
        <x:v>0.030293797249243377</x:v>
      </x:c>
      <x:c r="H202" s="52" t="n">
        <x:f>G202*'Basis'!$D$7</x:f>
        <x:v>6.361697422341109</x:v>
      </x:c>
      <x:c r="I202" s="52" t="n">
        <x:f>H202*'Basis'!$D$8</x:f>
        <x:v>356.2550556511021</x:v>
      </x:c>
      <x:c r="J202" s="2" t="str">
        <x:v>timber</x:v>
      </x:c>
      <x:c r="K202" s="20" t="n">
        <x:v>0.08</x:v>
      </x:c>
      <x:c r="L202" s="11" t="str">
        <x:v>Ordinary blown glass.</x:v>
      </x:c>
    </x:row>
    <x:row r="203" ht="38" customHeight="1">
      <x:c r="C203" s="2" t="str">
        <x:v>iron</x:v>
      </x:c>
      <x:c r="D203" s="11" t="str">
        <x:v>Metals and hardware</x:v>
      </x:c>
      <x:c r="E203" s="11" t="str">
        <x:v>Worked iron stock</x:v>
      </x:c>
      <x:c r="F203" s="11" t="str">
        <x:v>stone (14 lb)</x:v>
      </x:c>
      <x:c r="G203" s="51" t="n">
        <x:f>'Basis'!$F$100*K203</x:f>
        <x:v>0.09016011086084337</x:v>
      </x:c>
      <x:c r="H203" s="52" t="n">
        <x:f>G203*'Basis'!$D$7</x:f>
        <x:v>18.93362328077711</x:v>
      </x:c>
      <x:c r="I203" s="52" t="n">
        <x:f>H203*'Basis'!$D$8</x:f>
        <x:v>1060.282903723518</x:v>
      </x:c>
      <x:c r="J203" s="2" t="str">
        <x:v>iron</x:v>
      </x:c>
      <x:c r="K203" s="20" t="n">
        <x:v>1</x:v>
      </x:c>
      <x:c r="L203" s="11" t="str">
        <x:v>Ordinary bars; fiscal-model anchor.</x:v>
      </x:c>
    </x:row>
    <x:row r="204" ht="38" customHeight="1">
      <x:c r="C204" s="2" t="str">
        <x:v>iron_ore</x:v>
      </x:c>
      <x:c r="D204" s="11" t="str">
        <x:v>Metals and hardware</x:v>
      </x:c>
      <x:c r="E204" s="11" t="str">
        <x:v>Iron ore</x:v>
      </x:c>
      <x:c r="F204" s="11" t="str">
        <x:v>long ton</x:v>
      </x:c>
      <x:c r="G204" s="51" t="n">
        <x:f>'Basis'!$F$100*K204</x:f>
        <x:v>0.18032022172168674</x:v>
      </x:c>
      <x:c r="H204" s="52" t="n">
        <x:f>G204*'Basis'!$D$7</x:f>
        <x:v>37.86724656155422</x:v>
      </x:c>
      <x:c r="I204" s="52" t="n">
        <x:f>H204*'Basis'!$D$8</x:f>
        <x:v>2120.565807447036</x:v>
      </x:c>
      <x:c r="J204" s="2" t="str">
        <x:v>iron</x:v>
      </x:c>
      <x:c r="K204" s="20" t="n">
        <x:v>2</x:v>
      </x:c>
      <x:c r="L204" s="11" t="str">
        <x:v>Usable ore at pit; yield varies.</x:v>
      </x:c>
    </x:row>
    <x:row r="205" ht="38" customHeight="1">
      <x:c r="C205" s="2" t="str">
        <x:v>iron_bloom</x:v>
      </x:c>
      <x:c r="D205" s="11" t="str">
        <x:v>Metals and hardware</x:v>
      </x:c>
      <x:c r="E205" s="11" t="str">
        <x:v>Refined iron bloom</x:v>
      </x:c>
      <x:c r="F205" s="11" t="str">
        <x:v>stone (14 lb)</x:v>
      </x:c>
      <x:c r="G205" s="51" t="n">
        <x:f>'Basis'!$F$100*K205</x:f>
        <x:v>0.0721280886886747</x:v>
      </x:c>
      <x:c r="H205" s="52" t="n">
        <x:f>G205*'Basis'!$D$7</x:f>
        <x:v>15.146898624621686</x:v>
      </x:c>
      <x:c r="I205" s="52" t="n">
        <x:f>H205*'Basis'!$D$8</x:f>
        <x:v>848.2263229788144</x:v>
      </x:c>
      <x:c r="J205" s="2" t="str">
        <x:v>iron</x:v>
      </x:c>
      <x:c r="K205" s="20" t="n">
        <x:v>0.8</x:v>
      </x:c>
      <x:c r="L205" s="11" t="str">
        <x:v>For further forging.</x:v>
      </x:c>
    </x:row>
    <x:row r="206" ht="38" customHeight="1">
      <x:c r="C206" s="2" t="str">
        <x:v>steel</x:v>
      </x:c>
      <x:c r="D206" s="11" t="str">
        <x:v>Metals and hardware</x:v>
      </x:c>
      <x:c r="E206" s="11" t="str">
        <x:v>Ordinary tool steel</x:v>
      </x:c>
      <x:c r="F206" s="11" t="str">
        <x:v>stone (14 lb)</x:v>
      </x:c>
      <x:c r="G206" s="51" t="n">
        <x:f>'Basis'!$F$100*K206</x:f>
        <x:v>0.22540027715210842</x:v>
      </x:c>
      <x:c r="H206" s="52" t="n">
        <x:f>G206*'Basis'!$D$7</x:f>
        <x:v>47.33405820194277</x:v>
      </x:c>
      <x:c r="I206" s="52" t="n">
        <x:f>H206*'Basis'!$D$8</x:f>
        <x:v>2650.707259308795</x:v>
      </x:c>
      <x:c r="J206" s="2" t="str">
        <x:v>iron</x:v>
      </x:c>
      <x:c r="K206" s="20" t="n">
        <x:v>2.5</x:v>
      </x:c>
      <x:c r="L206" s="11" t="str">
        <x:v>Prepared smithing stock.</x:v>
      </x:c>
    </x:row>
    <x:row r="207" ht="38" customHeight="1">
      <x:c r="C207" s="2" t="str">
        <x:v>copper</x:v>
      </x:c>
      <x:c r="D207" s="11" t="str">
        <x:v>Metals and hardware</x:v>
      </x:c>
      <x:c r="E207" s="11" t="str">
        <x:v>Copper stock</x:v>
      </x:c>
      <x:c r="F207" s="11" t="str">
        <x:v>stone (14 lb)</x:v>
      </x:c>
      <x:c r="G207" s="51" t="n">
        <x:f>'Basis'!$F$100*K207</x:f>
        <x:v>0.3606404434433735</x:v>
      </x:c>
      <x:c r="H207" s="52" t="n">
        <x:f>G207*'Basis'!$D$7</x:f>
        <x:v>75.73449312310844</x:v>
      </x:c>
      <x:c r="I207" s="52" t="n">
        <x:f>H207*'Basis'!$D$8</x:f>
        <x:v>4241.131614894072</x:v>
      </x:c>
      <x:c r="J207" s="2" t="str">
        <x:v>iron</x:v>
      </x:c>
      <x:c r="K207" s="20" t="n">
        <x:v>4</x:v>
      </x:c>
      <x:c r="L207" s="11" t="str">
        <x:v>Trade metal; not coin bullion.</x:v>
      </x:c>
    </x:row>
    <x:row r="208" ht="38" customHeight="1">
      <x:c r="C208" s="2" t="str">
        <x:v>tin</x:v>
      </x:c>
      <x:c r="D208" s="11" t="str">
        <x:v>Metals and hardware</x:v>
      </x:c>
      <x:c r="E208" s="11" t="str">
        <x:v>Tin stock</x:v>
      </x:c>
      <x:c r="F208" s="11" t="str">
        <x:v>stone (14 lb)</x:v>
      </x:c>
      <x:c r="G208" s="51" t="n">
        <x:f>'Basis'!$F$100*K208</x:f>
        <x:v>0.45080055430421684</x:v>
      </x:c>
      <x:c r="H208" s="52" t="n">
        <x:f>G208*'Basis'!$D$7</x:f>
        <x:v>94.66811640388553</x:v>
      </x:c>
      <x:c r="I208" s="52" t="n">
        <x:f>H208*'Basis'!$D$8</x:f>
        <x:v>5301.41451861759</x:v>
      </x:c>
      <x:c r="J208" s="2" t="str">
        <x:v>iron</x:v>
      </x:c>
      <x:c r="K208" s="20" t="n">
        <x:v>5</x:v>
      </x:c>
      <x:c r="L208" s="11" t="str">
        <x:v>Trade metal.</x:v>
      </x:c>
    </x:row>
    <x:row r="209" ht="38" customHeight="1">
      <x:c r="C209" s="2" t="str">
        <x:v>bronze</x:v>
      </x:c>
      <x:c r="D209" s="11" t="str">
        <x:v>Metals and hardware</x:v>
      </x:c>
      <x:c r="E209" s="11" t="str">
        <x:v>Bronze stock</x:v>
      </x:c>
      <x:c r="F209" s="11" t="str">
        <x:v>stone (14 lb)</x:v>
      </x:c>
      <x:c r="G209" s="51" t="n">
        <x:f>'Basis'!$F$100*K209</x:f>
        <x:v>0.4327685321320482</x:v>
      </x:c>
      <x:c r="H209" s="52" t="n">
        <x:f>G209*'Basis'!$D$7</x:f>
        <x:v>90.88139174773012</x:v>
      </x:c>
      <x:c r="I209" s="52" t="n">
        <x:f>H209*'Basis'!$D$8</x:f>
        <x:v>5089.357937872886</x:v>
      </x:c>
      <x:c r="J209" s="2" t="str">
        <x:v>iron</x:v>
      </x:c>
      <x:c r="K209" s="20" t="n">
        <x:v>4.8</x:v>
      </x:c>
      <x:c r="L209" s="11" t="str">
        <x:v>Trade alloy.</x:v>
      </x:c>
    </x:row>
    <x:row r="210" ht="38" customHeight="1">
      <x:c r="C210" s="2" t="str">
        <x:v>lead</x:v>
      </x:c>
      <x:c r="D210" s="11" t="str">
        <x:v>Metals and hardware</x:v>
      </x:c>
      <x:c r="E210" s="11" t="str">
        <x:v>Lead stock</x:v>
      </x:c>
      <x:c r="F210" s="11" t="str">
        <x:v>stone (14 lb)</x:v>
      </x:c>
      <x:c r="G210" s="51" t="n">
        <x:f>'Basis'!$F$100*K210</x:f>
        <x:v>0.09917612194692771</x:v>
      </x:c>
      <x:c r="H210" s="52" t="n">
        <x:f>G210*'Basis'!$D$7</x:f>
        <x:v>20.82698560885482</x:v>
      </x:c>
      <x:c r="I210" s="52" t="n">
        <x:f>H210*'Basis'!$D$8</x:f>
        <x:v>1166.31119409587</x:v>
      </x:c>
      <x:c r="J210" s="2" t="str">
        <x:v>iron</x:v>
      </x:c>
      <x:c r="K210" s="20" t="n">
        <x:v>1.1</x:v>
      </x:c>
      <x:c r="L210" s="11" t="str">
        <x:v>Sheet or ingot.</x:v>
      </x:c>
    </x:row>
    <x:row r="211" ht="38" customHeight="1">
      <x:c r="C211" s="2" t="str">
        <x:v>nails</x:v>
      </x:c>
      <x:c r="D211" s="11" t="str">
        <x:v>Metals and hardware</x:v>
      </x:c>
      <x:c r="E211" s="11" t="str">
        <x:v>Hand-forged nails</x:v>
      </x:c>
      <x:c r="F211" s="11" t="str">
        <x:v>lb</x:v>
      </x:c>
      <x:c r="G211" s="51" t="n">
        <x:f>'Basis'!$F$100*K211</x:f>
        <x:v>0.022540027715210843</x:v>
      </x:c>
      <x:c r="H211" s="52" t="n">
        <x:f>G211*'Basis'!$D$7</x:f>
        <x:v>4.733405820194277</x:v>
      </x:c>
      <x:c r="I211" s="52" t="n">
        <x:f>H211*'Basis'!$D$8</x:f>
        <x:v>265.0707259308795</x:v>
      </x:c>
      <x:c r="J211" s="2" t="str">
        <x:v>iron</x:v>
      </x:c>
      <x:c r="K211" s="20" t="n">
        <x:v>0.25</x:v>
      </x:c>
      <x:c r="L211" s="11" t="str">
        <x:v>Ordinary mixed building nails.</x:v>
      </x:c>
    </x:row>
    <x:row r="212" ht="38" customHeight="1">
      <x:c r="C212" s="2" t="str">
        <x:v>hinges</x:v>
      </x:c>
      <x:c r="D212" s="11" t="str">
        <x:v>Metals and hardware</x:v>
      </x:c>
      <x:c r="E212" s="11" t="str">
        <x:v>Door hinges</x:v>
      </x:c>
      <x:c r="F212" s="11" t="str">
        <x:v>pair</x:v>
      </x:c>
      <x:c r="G212" s="51" t="n">
        <x:f>'Basis'!$F$100*K212</x:f>
        <x:v>0.045080055430421685</x:v>
      </x:c>
      <x:c r="H212" s="52" t="n">
        <x:f>G212*'Basis'!$D$7</x:f>
        <x:v>9.466811640388554</x:v>
      </x:c>
      <x:c r="I212" s="52" t="n">
        <x:f>H212*'Basis'!$D$8</x:f>
        <x:v>530.141451861759</x:v>
      </x:c>
      <x:c r="J212" s="2" t="str">
        <x:v>iron</x:v>
      </x:c>
      <x:c r="K212" s="20" t="n">
        <x:v>0.5</x:v>
      </x:c>
      <x:c r="L212" s="11" t="str">
        <x:v>Small plain iron pair.</x:v>
      </x:c>
    </x:row>
    <x:row r="213" ht="38" customHeight="1">
      <x:c r="C213" s="2" t="str">
        <x:v>heavy_hinges</x:v>
      </x:c>
      <x:c r="D213" s="11" t="str">
        <x:v>Metals and hardware</x:v>
      </x:c>
      <x:c r="E213" s="11" t="str">
        <x:v>Gate hinges</x:v>
      </x:c>
      <x:c r="F213" s="11" t="str">
        <x:v>pair</x:v>
      </x:c>
      <x:c r="G213" s="51" t="n">
        <x:f>'Basis'!$F$100*K213</x:f>
        <x:v>0.2704803325825301</x:v>
      </x:c>
      <x:c r="H213" s="52" t="n">
        <x:f>G213*'Basis'!$D$7</x:f>
        <x:v>56.80086984233132</x:v>
      </x:c>
      <x:c r="I213" s="52" t="n">
        <x:f>H213*'Basis'!$D$8</x:f>
        <x:v>3180.848711170554</x:v>
      </x:c>
      <x:c r="J213" s="2" t="str">
        <x:v>iron</x:v>
      </x:c>
      <x:c r="K213" s="20" t="n">
        <x:v>3</x:v>
      </x:c>
      <x:c r="L213" s="11" t="str">
        <x:v>Heavy forged pair.</x:v>
      </x:c>
    </x:row>
    <x:row r="214" ht="38" customHeight="1">
      <x:c r="C214" s="2" t="str">
        <x:v>lock</x:v>
      </x:c>
      <x:c r="D214" s="11" t="str">
        <x:v>Metals and hardware</x:v>
      </x:c>
      <x:c r="E214" s="11" t="str">
        <x:v>Plain iron lock</x:v>
      </x:c>
      <x:c r="F214" s="11" t="str">
        <x:v>lock with 2 keys</x:v>
      </x:c>
      <x:c r="G214" s="51" t="n">
        <x:f>'Basis'!$F$100*K214</x:f>
        <x:v>0.09016011086084337</x:v>
      </x:c>
      <x:c r="H214" s="52" t="n">
        <x:f>G214*'Basis'!$D$7</x:f>
        <x:v>18.93362328077711</x:v>
      </x:c>
      <x:c r="I214" s="52" t="n">
        <x:f>H214*'Basis'!$D$8</x:f>
        <x:v>1060.282903723518</x:v>
      </x:c>
      <x:c r="J214" s="2" t="str">
        <x:v>iron</x:v>
      </x:c>
      <x:c r="K214" s="20" t="n">
        <x:v>1</x:v>
      </x:c>
      <x:c r="L214" s="11" t="str">
        <x:v>Small chest or room lock.</x:v>
      </x:c>
    </x:row>
    <x:row r="215" ht="38" customHeight="1">
      <x:c r="C215" s="2" t="str">
        <x:v>good_lock</x:v>
      </x:c>
      <x:c r="D215" s="11" t="str">
        <x:v>Metals and hardware</x:v>
      </x:c>
      <x:c r="E215" s="11" t="str">
        <x:v>Good large lock</x:v>
      </x:c>
      <x:c r="F215" s="11" t="str">
        <x:v>lock with 2 keys</x:v>
      </x:c>
      <x:c r="G215" s="51" t="n">
        <x:f>'Basis'!$F$100*K215</x:f>
        <x:v>0.2704803325825301</x:v>
      </x:c>
      <x:c r="H215" s="52" t="n">
        <x:f>G215*'Basis'!$D$7</x:f>
        <x:v>56.80086984233132</x:v>
      </x:c>
      <x:c r="I215" s="52" t="n">
        <x:f>H215*'Basis'!$D$8</x:f>
        <x:v>3180.848711170554</x:v>
      </x:c>
      <x:c r="J215" s="2" t="str">
        <x:v>iron</x:v>
      </x:c>
      <x:c r="K215" s="20" t="n">
        <x:v>3</x:v>
      </x:c>
      <x:c r="L215" s="11" t="str">
        <x:v>Strong door or coffer lock.</x:v>
      </x:c>
    </x:row>
    <x:row r="216" ht="38" customHeight="1">
      <x:c r="C216" s="2" t="str">
        <x:v>chain</x:v>
      </x:c>
      <x:c r="D216" s="11" t="str">
        <x:v>Metals and hardware</x:v>
      </x:c>
      <x:c r="E216" s="11" t="str">
        <x:v>Iron chain</x:v>
      </x:c>
      <x:c r="F216" s="11" t="str">
        <x:v>10 ft</x:v>
      </x:c>
      <x:c r="G216" s="51" t="n">
        <x:f>'Basis'!$F$100*K216</x:f>
        <x:v>0.18032022172168674</x:v>
      </x:c>
      <x:c r="H216" s="52" t="n">
        <x:f>G216*'Basis'!$D$7</x:f>
        <x:v>37.86724656155422</x:v>
      </x:c>
      <x:c r="I216" s="52" t="n">
        <x:f>H216*'Basis'!$D$8</x:f>
        <x:v>2120.565807447036</x:v>
      </x:c>
      <x:c r="J216" s="2" t="str">
        <x:v>iron</x:v>
      </x:c>
      <x:c r="K216" s="20" t="n">
        <x:v>2</x:v>
      </x:c>
      <x:c r="L216" s="11" t="str">
        <x:v>Medium chain, about 14 lb.</x:v>
      </x:c>
    </x:row>
    <x:row r="217" ht="38" customHeight="1">
      <x:c r="C217" s="2" t="str">
        <x:v>horseshoes</x:v>
      </x:c>
      <x:c r="D217" s="11" t="str">
        <x:v>Metals and hardware</x:v>
      </x:c>
      <x:c r="E217" s="11" t="str">
        <x:v>Four horseshoes</x:v>
      </x:c>
      <x:c r="F217" s="11" t="str">
        <x:v>set, unfitted</x:v>
      </x:c>
      <x:c r="G217" s="51" t="n">
        <x:f>'Basis'!$F$100*K217</x:f>
        <x:v>0.022540027715210843</x:v>
      </x:c>
      <x:c r="H217" s="52" t="n">
        <x:f>G217*'Basis'!$D$7</x:f>
        <x:v>4.733405820194277</x:v>
      </x:c>
      <x:c r="I217" s="52" t="n">
        <x:f>H217*'Basis'!$D$8</x:f>
        <x:v>265.0707259308795</x:v>
      </x:c>
      <x:c r="J217" s="2" t="str">
        <x:v>iron</x:v>
      </x:c>
      <x:c r="K217" s="20" t="n">
        <x:v>0.25</x:v>
      </x:c>
      <x:c r="L217" s="11" t="str">
        <x:v>Ordinary forged set.</x:v>
      </x:c>
    </x:row>
    <x:row r="218" ht="38" customHeight="1">
      <x:c r="C218" s="2" t="str">
        <x:v>cauldron</x:v>
      </x:c>
      <x:c r="D218" s="11" t="str">
        <x:v>Metals and hardware</x:v>
      </x:c>
      <x:c r="E218" s="11" t="str">
        <x:v>Iron cauldron</x:v>
      </x:c>
      <x:c r="F218" s="11" t="str">
        <x:v>10-gallon capacity</x:v>
      </x:c>
      <x:c r="G218" s="51" t="n">
        <x:f>'Basis'!$F$100*K218</x:f>
        <x:v>0.3606404434433735</x:v>
      </x:c>
      <x:c r="H218" s="52" t="n">
        <x:f>G218*'Basis'!$D$7</x:f>
        <x:v>75.73449312310844</x:v>
      </x:c>
      <x:c r="I218" s="52" t="n">
        <x:f>H218*'Basis'!$D$8</x:f>
        <x:v>4241.131614894072</x:v>
      </x:c>
      <x:c r="J218" s="2" t="str">
        <x:v>iron</x:v>
      </x:c>
      <x:c r="K218" s="20" t="n">
        <x:v>4</x:v>
      </x:c>
      <x:c r="L218" s="11" t="str">
        <x:v>Finished vessel.</x:v>
      </x:c>
    </x:row>
    <x:row r="219" ht="38" customHeight="1">
      <x:c r="C219" s="2" t="str">
        <x:v>iron_pot</x:v>
      </x:c>
      <x:c r="D219" s="11" t="str">
        <x:v>Metals and hardware</x:v>
      </x:c>
      <x:c r="E219" s="11" t="str">
        <x:v>Iron cooking pot</x:v>
      </x:c>
      <x:c r="F219" s="11" t="str">
        <x:v>2-gallon capacity</x:v>
      </x:c>
      <x:c r="G219" s="51" t="n">
        <x:f>'Basis'!$F$100*K219</x:f>
        <x:v>0.09917612194692771</x:v>
      </x:c>
      <x:c r="H219" s="52" t="n">
        <x:f>G219*'Basis'!$D$7</x:f>
        <x:v>20.82698560885482</x:v>
      </x:c>
      <x:c r="I219" s="52" t="n">
        <x:f>H219*'Basis'!$D$8</x:f>
        <x:v>1166.31119409587</x:v>
      </x:c>
      <x:c r="J219" s="2" t="str">
        <x:v>iron</x:v>
      </x:c>
      <x:c r="K219" s="20" t="n">
        <x:v>1.1</x:v>
      </x:c>
      <x:c r="L219" s="11" t="str">
        <x:v>Finished vessel.</x:v>
      </x:c>
    </x:row>
    <x:row r="220" ht="38" customHeight="1">
      <x:c r="C220" s="2" t="str">
        <x:v>anvil</x:v>
      </x:c>
      <x:c r="D220" s="11" t="str">
        <x:v>Metals and hardware</x:v>
      </x:c>
      <x:c r="E220" s="11" t="str">
        <x:v>Smith anvil</x:v>
      </x:c>
      <x:c r="F220" s="11" t="str">
        <x:v>100 lb</x:v>
      </x:c>
      <x:c r="G220" s="51" t="n">
        <x:f>'Basis'!$F$100*K220</x:f>
        <x:v>1.0819213303301205</x:v>
      </x:c>
      <x:c r="H220" s="52" t="n">
        <x:f>G220*'Basis'!$D$7</x:f>
        <x:v>227.2034793693253</x:v>
      </x:c>
      <x:c r="I220" s="52" t="n">
        <x:f>H220*'Basis'!$D$8</x:f>
        <x:v>12723.394844682216</x:v>
      </x:c>
      <x:c r="J220" s="2" t="str">
        <x:v>iron</x:v>
      </x:c>
      <x:c r="K220" s="20" t="n">
        <x:v>12</x:v>
      </x:c>
      <x:c r="L220" s="11" t="str">
        <x:v>Finished working anvil.</x:v>
      </x:c>
    </x:row>
    <x:row r="221" ht="38" customHeight="1">
      <x:c r="C221" s="2" t="str">
        <x:v>bell</x:v>
      </x:c>
      <x:c r="D221" s="11" t="str">
        <x:v>Metals and hardware</x:v>
      </x:c>
      <x:c r="E221" s="11" t="str">
        <x:v>Bronze bell</x:v>
      </x:c>
      <x:c r="F221" s="11" t="str">
        <x:v>50 lb</x:v>
      </x:c>
      <x:c r="G221" s="51" t="n">
        <x:f>'Basis'!$F$100*K221</x:f>
        <x:v>1.9835224389385542</x:v>
      </x:c>
      <x:c r="H221" s="52" t="n">
        <x:f>G221*'Basis'!$D$7</x:f>
        <x:v>416.53971217709636</x:v>
      </x:c>
      <x:c r="I221" s="52" t="n">
        <x:f>H221*'Basis'!$D$8</x:f>
        <x:v>23326.223881917394</x:v>
      </x:c>
      <x:c r="J221" s="2" t="str">
        <x:v>iron</x:v>
      </x:c>
      <x:c r="K221" s="20" t="n">
        <x:v>22</x:v>
      </x:c>
      <x:c r="L221" s="11" t="str">
        <x:v>Small finished bell.</x:v>
      </x:c>
    </x:row>
    <x:row r="222" ht="38" customHeight="1">
      <x:c r="C222" s="2" t="str">
        <x:v>wire</x:v>
      </x:c>
      <x:c r="D222" s="11" t="str">
        <x:v>Metals and hardware</x:v>
      </x:c>
      <x:c r="E222" s="11" t="str">
        <x:v>Iron wire</x:v>
      </x:c>
      <x:c r="F222" s="11" t="str">
        <x:v>lb</x:v>
      </x:c>
      <x:c r="G222" s="51" t="n">
        <x:f>'Basis'!$F$100*K222</x:f>
        <x:v>0.027048033258253012</x:v>
      </x:c>
      <x:c r="H222" s="52" t="n">
        <x:f>G222*'Basis'!$D$7</x:f>
        <x:v>5.6800869842331325</x:v>
      </x:c>
      <x:c r="I222" s="52" t="n">
        <x:f>H222*'Basis'!$D$8</x:f>
        <x:v>318.0848711170554</x:v>
      </x:c>
      <x:c r="J222" s="2" t="str">
        <x:v>iron</x:v>
      </x:c>
      <x:c r="K222" s="20" t="n">
        <x:v>0.3</x:v>
      </x:c>
      <x:c r="L222" s="11" t="str">
        <x:v>Drawn working wire.</x:v>
      </x:c>
    </x:row>
    <x:row r="223" ht="38" customHeight="1">
      <x:c r="C223" s="2" t="str">
        <x:v>knife</x:v>
      </x:c>
      <x:c r="D223" s="11" t="str">
        <x:v>Farm and workshop tools</x:v>
      </x:c>
      <x:c r="E223" s="11" t="str">
        <x:v>Utility knife</x:v>
      </x:c>
      <x:c r="F223" s="11" t="str">
        <x:v>each</x:v>
      </x:c>
      <x:c r="G223" s="51" t="n">
        <x:f>'Basis'!$F$101*K223</x:f>
        <x:v>0.07573449312310843</x:v>
      </x:c>
      <x:c r="H223" s="52" t="n">
        <x:f>G223*'Basis'!$D$7</x:f>
        <x:v>15.90424355585277</x:v>
      </x:c>
      <x:c r="I223" s="52" t="n">
        <x:f>H223*'Basis'!$D$8</x:f>
        <x:v>890.637639127755</x:v>
      </x:c>
      <x:c r="J223" s="2" t="str">
        <x:v>sword</x:v>
      </x:c>
      <x:c r="K223" s="20" t="n">
        <x:v>0.08</x:v>
      </x:c>
      <x:c r="L223" s="11" t="str">
        <x:v>Plain service blade and handle.</x:v>
      </x:c>
    </x:row>
    <x:row r="224" ht="38" customHeight="1">
      <x:c r="C224" s="2" t="str">
        <x:v>axe</x:v>
      </x:c>
      <x:c r="D224" s="11" t="str">
        <x:v>Farm and workshop tools</x:v>
      </x:c>
      <x:c r="E224" s="11" t="str">
        <x:v>Felling axe</x:v>
      </x:c>
      <x:c r="F224" s="11" t="str">
        <x:v>each</x:v>
      </x:c>
      <x:c r="G224" s="51" t="n">
        <x:f>'Basis'!$F$101*K224</x:f>
        <x:v>0.1420021746058283</x:v>
      </x:c>
      <x:c r="H224" s="52" t="n">
        <x:f>G224*'Basis'!$D$7</x:f>
        <x:v>29.820456667223947</x:v>
      </x:c>
      <x:c r="I224" s="52" t="n">
        <x:f>H224*'Basis'!$D$8</x:f>
        <x:v>1669.9455733645411</x:v>
      </x:c>
      <x:c r="J224" s="2" t="str">
        <x:v>sword</x:v>
      </x:c>
      <x:c r="K224" s="20" t="n">
        <x:v>0.15</x:v>
      </x:c>
      <x:c r="L224" s="11" t="str">
        <x:v>Steel edge, fitted shaft.</x:v>
      </x:c>
    </x:row>
    <x:row r="225" ht="38" customHeight="1">
      <x:c r="C225" s="2" t="str">
        <x:v>adze</x:v>
      </x:c>
      <x:c r="D225" s="11" t="str">
        <x:v>Farm and workshop tools</x:v>
      </x:c>
      <x:c r="E225" s="11" t="str">
        <x:v>Carpenter adze</x:v>
      </x:c>
      <x:c r="F225" s="11" t="str">
        <x:v>each</x:v>
      </x:c>
      <x:c r="G225" s="51" t="n">
        <x:f>'Basis'!$F$101*K225</x:f>
        <x:v>0.15146898624621685</x:v>
      </x:c>
      <x:c r="H225" s="52" t="n">
        <x:f>G225*'Basis'!$D$7</x:f>
        <x:v>31.80848711170554</x:v>
      </x:c>
      <x:c r="I225" s="52" t="n">
        <x:f>H225*'Basis'!$D$8</x:f>
        <x:v>1781.27527825551</x:v>
      </x:c>
      <x:c r="J225" s="2" t="str">
        <x:v>sword</x:v>
      </x:c>
      <x:c r="K225" s="20" t="n">
        <x:v>0.16</x:v>
      </x:c>
      <x:c r="L225" s="11" t="str">
        <x:v>Finished tool.</x:v>
      </x:c>
    </x:row>
    <x:row r="226" ht="38" customHeight="1">
      <x:c r="C226" s="2" t="str">
        <x:v>saw</x:v>
      </x:c>
      <x:c r="D226" s="11" t="str">
        <x:v>Farm and workshop tools</x:v>
      </x:c>
      <x:c r="E226" s="11" t="str">
        <x:v>Two-person saw</x:v>
      </x:c>
      <x:c r="F226" s="11" t="str">
        <x:v>each</x:v>
      </x:c>
      <x:c r="G226" s="51" t="n">
        <x:f>'Basis'!$F$101*K226</x:f>
        <x:v>0.3786724656155422</x:v>
      </x:c>
      <x:c r="H226" s="52" t="n">
        <x:f>G226*'Basis'!$D$7</x:f>
        <x:v>79.52121777926386</x:v>
      </x:c>
      <x:c r="I226" s="52" t="n">
        <x:f>H226*'Basis'!$D$8</x:f>
        <x:v>4453.188195638776</x:v>
      </x:c>
      <x:c r="J226" s="2" t="str">
        <x:v>sword</x:v>
      </x:c>
      <x:c r="K226" s="20" t="n">
        <x:v>0.4</x:v>
      </x:c>
      <x:c r="L226" s="11" t="str">
        <x:v>Finished blade and grips.</x:v>
      </x:c>
    </x:row>
    <x:row r="227" ht="38" customHeight="1">
      <x:c r="C227" s="2" t="str">
        <x:v>hammer</x:v>
      </x:c>
      <x:c r="D227" s="11" t="str">
        <x:v>Farm and workshop tools</x:v>
      </x:c>
      <x:c r="E227" s="11" t="str">
        <x:v>Smith hammer</x:v>
      </x:c>
      <x:c r="F227" s="11" t="str">
        <x:v>each</x:v>
      </x:c>
      <x:c r="G227" s="51" t="n">
        <x:f>'Basis'!$F$101*K227</x:f>
        <x:v>0.07573449312310843</x:v>
      </x:c>
      <x:c r="H227" s="52" t="n">
        <x:f>G227*'Basis'!$D$7</x:f>
        <x:v>15.90424355585277</x:v>
      </x:c>
      <x:c r="I227" s="52" t="n">
        <x:f>H227*'Basis'!$D$8</x:f>
        <x:v>890.637639127755</x:v>
      </x:c>
      <x:c r="J227" s="2" t="str">
        <x:v>sword</x:v>
      </x:c>
      <x:c r="K227" s="20" t="n">
        <x:v>0.08</x:v>
      </x:c>
      <x:c r="L227" s="11" t="str">
        <x:v>Finished tool.</x:v>
      </x:c>
    </x:row>
    <x:row r="228" ht="38" customHeight="1">
      <x:c r="C228" s="2" t="str">
        <x:v>tongs</x:v>
      </x:c>
      <x:c r="D228" s="11" t="str">
        <x:v>Farm and workshop tools</x:v>
      </x:c>
      <x:c r="E228" s="11" t="str">
        <x:v>Smith tongs</x:v>
      </x:c>
      <x:c r="F228" s="11" t="str">
        <x:v>pair</x:v>
      </x:c>
      <x:c r="G228" s="51" t="n">
        <x:f>'Basis'!$F$101*K228</x:f>
        <x:v>0.09466811640388555</x:v>
      </x:c>
      <x:c r="H228" s="52" t="n">
        <x:f>G228*'Basis'!$D$7</x:f>
        <x:v>19.880304444815966</x:v>
      </x:c>
      <x:c r="I228" s="52" t="n">
        <x:f>H228*'Basis'!$D$8</x:f>
        <x:v>1113.297048909694</x:v>
      </x:c>
      <x:c r="J228" s="2" t="str">
        <x:v>sword</x:v>
      </x:c>
      <x:c r="K228" s="20" t="n">
        <x:v>0.1</x:v>
      </x:c>
      <x:c r="L228" s="11" t="str">
        <x:v>Medium workshop pair.</x:v>
      </x:c>
    </x:row>
    <x:row r="229" ht="38" customHeight="1">
      <x:c r="C229" s="2" t="str">
        <x:v>chisel</x:v>
      </x:c>
      <x:c r="D229" s="11" t="str">
        <x:v>Farm and workshop tools</x:v>
      </x:c>
      <x:c r="E229" s="11" t="str">
        <x:v>Carpenter chisel</x:v>
      </x:c>
      <x:c r="F229" s="11" t="str">
        <x:v>each</x:v>
      </x:c>
      <x:c r="G229" s="51" t="n">
        <x:f>'Basis'!$F$101*K229</x:f>
        <x:v>0.04733405820194277</x:v>
      </x:c>
      <x:c r="H229" s="52" t="n">
        <x:f>G229*'Basis'!$D$7</x:f>
        <x:v>9.940152222407983</x:v>
      </x:c>
      <x:c r="I229" s="52" t="n">
        <x:f>H229*'Basis'!$D$8</x:f>
        <x:v>556.648524454847</x:v>
      </x:c>
      <x:c r="J229" s="2" t="str">
        <x:v>sword</x:v>
      </x:c>
      <x:c r="K229" s="20" t="n">
        <x:v>0.05</x:v>
      </x:c>
      <x:c r="L229" s="11" t="str">
        <x:v>Steel edge and handle.</x:v>
      </x:c>
    </x:row>
    <x:row r="230" ht="38" customHeight="1">
      <x:c r="C230" s="2" t="str">
        <x:v>auger</x:v>
      </x:c>
      <x:c r="D230" s="11" t="str">
        <x:v>Farm and workshop tools</x:v>
      </x:c>
      <x:c r="E230" s="11" t="str">
        <x:v>Hand auger</x:v>
      </x:c>
      <x:c r="F230" s="11" t="str">
        <x:v>each</x:v>
      </x:c>
      <x:c r="G230" s="51" t="n">
        <x:f>'Basis'!$F$101*K230</x:f>
        <x:v>0.07573449312310843</x:v>
      </x:c>
      <x:c r="H230" s="52" t="n">
        <x:f>G230*'Basis'!$D$7</x:f>
        <x:v>15.90424355585277</x:v>
      </x:c>
      <x:c r="I230" s="52" t="n">
        <x:f>H230*'Basis'!$D$8</x:f>
        <x:v>890.637639127755</x:v>
      </x:c>
      <x:c r="J230" s="2" t="str">
        <x:v>sword</x:v>
      </x:c>
      <x:c r="K230" s="20" t="n">
        <x:v>0.08</x:v>
      </x:c>
      <x:c r="L230" s="11" t="str">
        <x:v>Finished tool.</x:v>
      </x:c>
    </x:row>
    <x:row r="231" ht="38" customHeight="1">
      <x:c r="C231" s="2" t="str">
        <x:v>plane</x:v>
      </x:c>
      <x:c r="D231" s="11" t="str">
        <x:v>Farm and workshop tools</x:v>
      </x:c>
      <x:c r="E231" s="11" t="str">
        <x:v>Woodworking plane</x:v>
      </x:c>
      <x:c r="F231" s="11" t="str">
        <x:v>each</x:v>
      </x:c>
      <x:c r="G231" s="51" t="n">
        <x:f>'Basis'!$F$101*K231</x:f>
        <x:v>0.11360173968466264</x:v>
      </x:c>
      <x:c r="H231" s="52" t="n">
        <x:f>G231*'Basis'!$D$7</x:f>
        <x:v>23.856365333779156</x:v>
      </x:c>
      <x:c r="I231" s="52" t="n">
        <x:f>H231*'Basis'!$D$8</x:f>
        <x:v>1335.9564586916326</x:v>
      </x:c>
      <x:c r="J231" s="2" t="str">
        <x:v>sword</x:v>
      </x:c>
      <x:c r="K231" s="20" t="n">
        <x:v>0.12</x:v>
      </x:c>
      <x:c r="L231" s="11" t="str">
        <x:v>Wood body and iron.</x:v>
      </x:c>
    </x:row>
    <x:row r="232" ht="38" customHeight="1">
      <x:c r="C232" s="2" t="str">
        <x:v>shovel</x:v>
      </x:c>
      <x:c r="D232" s="11" t="str">
        <x:v>Farm and workshop tools</x:v>
      </x:c>
      <x:c r="E232" s="11" t="str">
        <x:v>Iron-edged shovel</x:v>
      </x:c>
      <x:c r="F232" s="11" t="str">
        <x:v>each</x:v>
      </x:c>
      <x:c r="G232" s="51" t="n">
        <x:f>'Basis'!$F$101*K232</x:f>
        <x:v>0.07573449312310843</x:v>
      </x:c>
      <x:c r="H232" s="52" t="n">
        <x:f>G232*'Basis'!$D$7</x:f>
        <x:v>15.90424355585277</x:v>
      </x:c>
      <x:c r="I232" s="52" t="n">
        <x:f>H232*'Basis'!$D$8</x:f>
        <x:v>890.637639127755</x:v>
      </x:c>
      <x:c r="J232" s="2" t="str">
        <x:v>sword</x:v>
      </x:c>
      <x:c r="K232" s="20" t="n">
        <x:v>0.08</x:v>
      </x:c>
      <x:c r="L232" s="11" t="str">
        <x:v>Fitted shaft.</x:v>
      </x:c>
    </x:row>
    <x:row r="233" ht="38" customHeight="1">
      <x:c r="C233" s="2" t="str">
        <x:v>pick</x:v>
      </x:c>
      <x:c r="D233" s="11" t="str">
        <x:v>Farm and workshop tools</x:v>
      </x:c>
      <x:c r="E233" s="11" t="str">
        <x:v>Pickaxe</x:v>
      </x:c>
      <x:c r="F233" s="11" t="str">
        <x:v>each</x:v>
      </x:c>
      <x:c r="G233" s="51" t="n">
        <x:f>'Basis'!$F$101*K233</x:f>
        <x:v>0.1420021746058283</x:v>
      </x:c>
      <x:c r="H233" s="52" t="n">
        <x:f>G233*'Basis'!$D$7</x:f>
        <x:v>29.820456667223947</x:v>
      </x:c>
      <x:c r="I233" s="52" t="n">
        <x:f>H233*'Basis'!$D$8</x:f>
        <x:v>1669.9455733645411</x:v>
      </x:c>
      <x:c r="J233" s="2" t="str">
        <x:v>sword</x:v>
      </x:c>
      <x:c r="K233" s="20" t="n">
        <x:v>0.15</x:v>
      </x:c>
      <x:c r="L233" s="11" t="str">
        <x:v>Fitted shaft.</x:v>
      </x:c>
    </x:row>
    <x:row r="234" ht="38" customHeight="1">
      <x:c r="C234" s="2" t="str">
        <x:v>hoe</x:v>
      </x:c>
      <x:c r="D234" s="11" t="str">
        <x:v>Farm and workshop tools</x:v>
      </x:c>
      <x:c r="E234" s="11" t="str">
        <x:v>Iron hoe</x:v>
      </x:c>
      <x:c r="F234" s="11" t="str">
        <x:v>each</x:v>
      </x:c>
      <x:c r="G234" s="51" t="n">
        <x:f>'Basis'!$F$101*K234</x:f>
        <x:v>0.06626768148271989</x:v>
      </x:c>
      <x:c r="H234" s="52" t="n">
        <x:f>G234*'Basis'!$D$7</x:f>
        <x:v>13.916213111371176</x:v>
      </x:c>
      <x:c r="I234" s="52" t="n">
        <x:f>H234*'Basis'!$D$8</x:f>
        <x:v>779.3079342367859</x:v>
      </x:c>
      <x:c r="J234" s="2" t="str">
        <x:v>sword</x:v>
      </x:c>
      <x:c r="K234" s="20" t="n">
        <x:v>0.07</x:v>
      </x:c>
      <x:c r="L234" s="11" t="str">
        <x:v>Fitted shaft.</x:v>
      </x:c>
    </x:row>
    <x:row r="235" ht="38" customHeight="1">
      <x:c r="C235" s="2" t="str">
        <x:v>sickle</x:v>
      </x:c>
      <x:c r="D235" s="11" t="str">
        <x:v>Farm and workshop tools</x:v>
      </x:c>
      <x:c r="E235" s="11" t="str">
        <x:v>Sickle</x:v>
      </x:c>
      <x:c r="F235" s="11" t="str">
        <x:v>each</x:v>
      </x:c>
      <x:c r="G235" s="51" t="n">
        <x:f>'Basis'!$F$101*K235</x:f>
        <x:v>0.05680086984233132</x:v>
      </x:c>
      <x:c r="H235" s="52" t="n">
        <x:f>G235*'Basis'!$D$7</x:f>
        <x:v>11.928182666889578</x:v>
      </x:c>
      <x:c r="I235" s="52" t="n">
        <x:f>H235*'Basis'!$D$8</x:f>
        <x:v>667.9782293458163</x:v>
      </x:c>
      <x:c r="J235" s="2" t="str">
        <x:v>sword</x:v>
      </x:c>
      <x:c r="K235" s="20" t="n">
        <x:v>0.06</x:v>
      </x:c>
      <x:c r="L235" s="11" t="str">
        <x:v>Finished tool.</x:v>
      </x:c>
    </x:row>
    <x:row r="236" ht="38" customHeight="1">
      <x:c r="C236" s="2" t="str">
        <x:v>scythe</x:v>
      </x:c>
      <x:c r="D236" s="11" t="str">
        <x:v>Farm and workshop tools</x:v>
      </x:c>
      <x:c r="E236" s="11" t="str">
        <x:v>Scythe</x:v>
      </x:c>
      <x:c r="F236" s="11" t="str">
        <x:v>each</x:v>
      </x:c>
      <x:c r="G236" s="51" t="n">
        <x:f>'Basis'!$F$101*K236</x:f>
        <x:v>0.15146898624621685</x:v>
      </x:c>
      <x:c r="H236" s="52" t="n">
        <x:f>G236*'Basis'!$D$7</x:f>
        <x:v>31.80848711170554</x:v>
      </x:c>
      <x:c r="I236" s="52" t="n">
        <x:f>H236*'Basis'!$D$8</x:f>
        <x:v>1781.27527825551</x:v>
      </x:c>
      <x:c r="J236" s="2" t="str">
        <x:v>sword</x:v>
      </x:c>
      <x:c r="K236" s="20" t="n">
        <x:v>0.16</x:v>
      </x:c>
      <x:c r="L236" s="11" t="str">
        <x:v>Blade and fitted snath.</x:v>
      </x:c>
    </x:row>
    <x:row r="237" ht="38" customHeight="1">
      <x:c r="C237" s="2" t="str">
        <x:v>rake</x:v>
      </x:c>
      <x:c r="D237" s="11" t="str">
        <x:v>Farm and workshop tools</x:v>
      </x:c>
      <x:c r="E237" s="11" t="str">
        <x:v>Wooden rake</x:v>
      </x:c>
      <x:c r="F237" s="11" t="str">
        <x:v>each</x:v>
      </x:c>
      <x:c r="G237" s="51" t="n">
        <x:f>'Basis'!$F$101*K237</x:f>
        <x:v>0.023667029100971387</x:v>
      </x:c>
      <x:c r="H237" s="52" t="n">
        <x:f>G237*'Basis'!$D$7</x:f>
        <x:v>4.9700761112039915</x:v>
      </x:c>
      <x:c r="I237" s="52" t="n">
        <x:f>H237*'Basis'!$D$8</x:f>
        <x:v>278.3242622274235</x:v>
      </x:c>
      <x:c r="J237" s="2" t="str">
        <x:v>sword</x:v>
      </x:c>
      <x:c r="K237" s="20" t="n">
        <x:v>0.025</x:v>
      </x:c>
      <x:c r="L237" s="11" t="str">
        <x:v>Finished tool.</x:v>
      </x:c>
    </x:row>
    <x:row r="238" ht="38" customHeight="1">
      <x:c r="C238" s="2" t="str">
        <x:v>pitchfork</x:v>
      </x:c>
      <x:c r="D238" s="11" t="str">
        <x:v>Farm and workshop tools</x:v>
      </x:c>
      <x:c r="E238" s="11" t="str">
        <x:v>Wooden pitchfork</x:v>
      </x:c>
      <x:c r="F238" s="11" t="str">
        <x:v>each</x:v>
      </x:c>
      <x:c r="G238" s="51" t="n">
        <x:f>'Basis'!$F$101*K238</x:f>
        <x:v>0.02840043492116566</x:v>
      </x:c>
      <x:c r="H238" s="52" t="n">
        <x:f>G238*'Basis'!$D$7</x:f>
        <x:v>5.964091333444789</x:v>
      </x:c>
      <x:c r="I238" s="52" t="n">
        <x:f>H238*'Basis'!$D$8</x:f>
        <x:v>333.98911467290816</x:v>
      </x:c>
      <x:c r="J238" s="2" t="str">
        <x:v>sword</x:v>
      </x:c>
      <x:c r="K238" s="20" t="n">
        <x:v>0.03</x:v>
      </x:c>
      <x:c r="L238" s="11" t="str">
        <x:v>Finished tool.</x:v>
      </x:c>
    </x:row>
    <x:row r="239" ht="38" customHeight="1">
      <x:c r="C239" s="2" t="str">
        <x:v>plough</x:v>
      </x:c>
      <x:c r="D239" s="11" t="str">
        <x:v>Farm and workshop tools</x:v>
      </x:c>
      <x:c r="E239" s="11" t="str">
        <x:v>Wood plough with iron share</x:v>
      </x:c>
      <x:c r="F239" s="11" t="str">
        <x:v>each</x:v>
      </x:c>
      <x:c r="G239" s="51" t="n">
        <x:f>'Basis'!$F$101*K239</x:f>
        <x:v>1.1360173968466265</x:v>
      </x:c>
      <x:c r="H239" s="52" t="n">
        <x:f>G239*'Basis'!$D$7</x:f>
        <x:v>238.56365333779158</x:v>
      </x:c>
      <x:c r="I239" s="52" t="n">
        <x:f>H239*'Basis'!$D$8</x:f>
        <x:v>13359.564586916329</x:v>
      </x:c>
      <x:c r="J239" s="2" t="str">
        <x:v>sword</x:v>
      </x:c>
      <x:c r="K239" s="20" t="n">
        <x:v>1.2</x:v>
      </x:c>
      <x:c r="L239" s="11" t="str">
        <x:v>Animal team and harness extra.</x:v>
      </x:c>
    </x:row>
    <x:row r="240" ht="38" customHeight="1">
      <x:c r="C240" s="2" t="str">
        <x:v>harrow</x:v>
      </x:c>
      <x:c r="D240" s="11" t="str">
        <x:v>Farm and workshop tools</x:v>
      </x:c>
      <x:c r="E240" s="11" t="str">
        <x:v>Wooden harrow, iron teeth</x:v>
      </x:c>
      <x:c r="F240" s="11" t="str">
        <x:v>each</x:v>
      </x:c>
      <x:c r="G240" s="51" t="n">
        <x:f>'Basis'!$F$101*K240</x:f>
        <x:v>0.5680086984233133</x:v>
      </x:c>
      <x:c r="H240" s="52" t="n">
        <x:f>G240*'Basis'!$D$7</x:f>
        <x:v>119.28182666889579</x:v>
      </x:c>
      <x:c r="I240" s="52" t="n">
        <x:f>H240*'Basis'!$D$8</x:f>
        <x:v>6679.7822934581645</x:v>
      </x:c>
      <x:c r="J240" s="2" t="str">
        <x:v>sword</x:v>
      </x:c>
      <x:c r="K240" s="20" t="n">
        <x:v>0.6</x:v>
      </x:c>
      <x:c r="L240" s="11" t="str">
        <x:v>Animal team extra.</x:v>
      </x:c>
    </x:row>
    <x:row r="241" ht="38" customHeight="1">
      <x:c r="C241" s="2" t="str">
        <x:v>wheelbarrow</x:v>
      </x:c>
      <x:c r="D241" s="11" t="str">
        <x:v>Farm and workshop tools</x:v>
      </x:c>
      <x:c r="E241" s="11" t="str">
        <x:v>Wooden wheelbarrow</x:v>
      </x:c>
      <x:c r="F241" s="11" t="str">
        <x:v>each</x:v>
      </x:c>
      <x:c r="G241" s="51" t="n">
        <x:f>'Basis'!$F$101*K241</x:f>
        <x:v>0.26507072593087955</x:v>
      </x:c>
      <x:c r="H241" s="52" t="n">
        <x:f>G241*'Basis'!$D$7</x:f>
        <x:v>55.664852445484705</x:v>
      </x:c>
      <x:c r="I241" s="52" t="n">
        <x:f>H241*'Basis'!$D$8</x:f>
        <x:v>3117.2317369471434</x:v>
      </x:c>
      <x:c r="J241" s="2" t="str">
        <x:v>sword</x:v>
      </x:c>
      <x:c r="K241" s="20" t="n">
        <x:v>0.28</x:v>
      </x:c>
      <x:c r="L241" s="11" t="str">
        <x:v>Iron fittings included.</x:v>
      </x:c>
    </x:row>
    <x:row r="242" ht="38" customHeight="1">
      <x:c r="C242" s="2" t="str">
        <x:v>hand_quern</x:v>
      </x:c>
      <x:c r="D242" s="11" t="str">
        <x:v>Farm and workshop tools</x:v>
      </x:c>
      <x:c r="E242" s="11" t="str">
        <x:v>Hand quern</x:v>
      </x:c>
      <x:c r="F242" s="11" t="str">
        <x:v>pair of stones</x:v>
      </x:c>
      <x:c r="G242" s="51" t="n">
        <x:f>'Basis'!$F$101*K242</x:f>
        <x:v>0.3786724656155422</x:v>
      </x:c>
      <x:c r="H242" s="52" t="n">
        <x:f>G242*'Basis'!$D$7</x:f>
        <x:v>79.52121777926386</x:v>
      </x:c>
      <x:c r="I242" s="52" t="n">
        <x:f>H242*'Basis'!$D$8</x:f>
        <x:v>4453.188195638776</x:v>
      </x:c>
      <x:c r="J242" s="2" t="str">
        <x:v>sword</x:v>
      </x:c>
      <x:c r="K242" s="20" t="n">
        <x:v>0.4</x:v>
      </x:c>
      <x:c r="L242" s="11" t="str">
        <x:v>Small household mill.</x:v>
      </x:c>
    </x:row>
    <x:row r="243" ht="38" customHeight="1">
      <x:c r="C243" s="2" t="str">
        <x:v>loom</x:v>
      </x:c>
      <x:c r="D243" s="11" t="str">
        <x:v>Farm and workshop tools</x:v>
      </x:c>
      <x:c r="E243" s="11" t="str">
        <x:v>Wooden handloom</x:v>
      </x:c>
      <x:c r="F243" s="11" t="str">
        <x:v>each</x:v>
      </x:c>
      <x:c r="G243" s="51" t="n">
        <x:f>'Basis'!$F$101*K243</x:f>
        <x:v>1.4200217460582831</x:v>
      </x:c>
      <x:c r="H243" s="52" t="n">
        <x:f>G243*'Basis'!$D$7</x:f>
        <x:v>298.2045666722395</x:v>
      </x:c>
      <x:c r="I243" s="52" t="n">
        <x:f>H243*'Basis'!$D$8</x:f>
        <x:v>16699.45573364541</x:v>
      </x:c>
      <x:c r="J243" s="2" t="str">
        <x:v>sword</x:v>
      </x:c>
      <x:c r="K243" s="20" t="n">
        <x:v>1.5</x:v>
      </x:c>
      <x:c r="L243" s="11" t="str">
        <x:v>Plain weaving loom.</x:v>
      </x:c>
    </x:row>
    <x:row r="244" ht="38" customHeight="1">
      <x:c r="C244" s="2" t="str">
        <x:v>spinning_wheel</x:v>
      </x:c>
      <x:c r="D244" s="11" t="str">
        <x:v>Farm and workshop tools</x:v>
      </x:c>
      <x:c r="E244" s="11" t="str">
        <x:v>Spinning wheel</x:v>
      </x:c>
      <x:c r="F244" s="11" t="str">
        <x:v>each</x:v>
      </x:c>
      <x:c r="G244" s="51" t="n">
        <x:f>'Basis'!$F$101*K244</x:f>
        <x:v>0.4733405820194277</x:v>
      </x:c>
      <x:c r="H244" s="52" t="n">
        <x:f>G244*'Basis'!$D$7</x:f>
        <x:v>99.40152222407981</x:v>
      </x:c>
      <x:c r="I244" s="52" t="n">
        <x:f>H244*'Basis'!$D$8</x:f>
        <x:v>5566.485244548469</x:v>
      </x:c>
      <x:c r="J244" s="2" t="str">
        <x:v>sword</x:v>
      </x:c>
      <x:c r="K244" s="20" t="n">
        <x:v>0.5</x:v>
      </x:c>
      <x:c r="L244" s="11" t="str">
        <x:v>Ordinary working wheel.</x:v>
      </x:c>
    </x:row>
    <x:row r="245" ht="38" customHeight="1">
      <x:c r="C245" s="2" t="str">
        <x:v>bellows</x:v>
      </x:c>
      <x:c r="D245" s="11" t="str">
        <x:v>Farm and workshop tools</x:v>
      </x:c>
      <x:c r="E245" s="11" t="str">
        <x:v>Smith bellows</x:v>
      </x:c>
      <x:c r="F245" s="11" t="str">
        <x:v>large pair</x:v>
      </x:c>
      <x:c r="G245" s="51" t="n">
        <x:f>'Basis'!$F$101*K245</x:f>
        <x:v>0.7573449312310844</x:v>
      </x:c>
      <x:c r="H245" s="52" t="n">
        <x:f>G245*'Basis'!$D$7</x:f>
        <x:v>159.04243555852773</x:v>
      </x:c>
      <x:c r="I245" s="52" t="n">
        <x:f>H245*'Basis'!$D$8</x:f>
        <x:v>8906.376391277552</x:v>
      </x:c>
      <x:c r="J245" s="2" t="str">
        <x:v>sword</x:v>
      </x:c>
      <x:c r="K245" s="20" t="n">
        <x:v>0.8</x:v>
      </x:c>
      <x:c r="L245" s="11" t="str">
        <x:v>Leather and wooden frame.</x:v>
      </x:c>
    </x:row>
    <x:row r="246" ht="38" customHeight="1">
      <x:c r="C246" s="2" t="str">
        <x:v>grindstone</x:v>
      </x:c>
      <x:c r="D246" s="11" t="str">
        <x:v>Farm and workshop tools</x:v>
      </x:c>
      <x:c r="E246" s="11" t="str">
        <x:v>Mounted grindstone</x:v>
      </x:c>
      <x:c r="F246" s="11" t="str">
        <x:v>each</x:v>
      </x:c>
      <x:c r="G246" s="51" t="n">
        <x:f>'Basis'!$F$101*K246</x:f>
        <x:v>0.6626768148271988</x:v>
      </x:c>
      <x:c r="H246" s="52" t="n">
        <x:f>G246*'Basis'!$D$7</x:f>
        <x:v>139.16213111371175</x:v>
      </x:c>
      <x:c r="I246" s="52" t="n">
        <x:f>H246*'Basis'!$D$8</x:f>
        <x:v>7793.079342367858</x:v>
      </x:c>
      <x:c r="J246" s="2" t="str">
        <x:v>sword</x:v>
      </x:c>
      <x:c r="K246" s="20" t="n">
        <x:v>0.7</x:v>
      </x:c>
      <x:c r="L246" s="11" t="str">
        <x:v>Stone, axle and frame.</x:v>
      </x:c>
    </x:row>
    <x:row r="247" ht="38" customHeight="1">
      <x:c r="C247" s="2" t="str">
        <x:v>fishing_net</x:v>
      </x:c>
      <x:c r="D247" s="11" t="str">
        <x:v>Farm and workshop tools</x:v>
      </x:c>
      <x:c r="E247" s="11" t="str">
        <x:v>Fishing net</x:v>
      </x:c>
      <x:c r="F247" s="11" t="str">
        <x:v>100 sq ft</x:v>
      </x:c>
      <x:c r="G247" s="51" t="n">
        <x:f>'Basis'!$F$101*K247</x:f>
        <x:v>0.23667029100971385</x:v>
      </x:c>
      <x:c r="H247" s="52" t="n">
        <x:f>G247*'Basis'!$D$7</x:f>
        <x:v>49.700761112039906</x:v>
      </x:c>
      <x:c r="I247" s="52" t="n">
        <x:f>H247*'Basis'!$D$8</x:f>
        <x:v>2783.2426222742347</x:v>
      </x:c>
      <x:c r="J247" s="2" t="str">
        <x:v>sword</x:v>
      </x:c>
      <x:c r="K247" s="20" t="n">
        <x:v>0.25</x:v>
      </x:c>
      <x:c r="L247" s="11" t="str">
        <x:v>Ordinary hemp net.</x:v>
      </x:c>
    </x:row>
    <x:row r="248" ht="38" customHeight="1">
      <x:c r="C248" s="2" t="str">
        <x:v>fish_hook</x:v>
      </x:c>
      <x:c r="D248" s="11" t="str">
        <x:v>Farm and workshop tools</x:v>
      </x:c>
      <x:c r="E248" s="11" t="str">
        <x:v>Iron fishhooks</x:v>
      </x:c>
      <x:c r="F248" s="11" t="str">
        <x:v>dozen</x:v>
      </x:c>
      <x:c r="G248" s="51" t="n">
        <x:f>'Basis'!$F$101*K248</x:f>
        <x:v>0.023667029100971387</x:v>
      </x:c>
      <x:c r="H248" s="52" t="n">
        <x:f>G248*'Basis'!$D$7</x:f>
        <x:v>4.9700761112039915</x:v>
      </x:c>
      <x:c r="I248" s="52" t="n">
        <x:f>H248*'Basis'!$D$8</x:f>
        <x:v>278.3242622274235</x:v>
      </x:c>
      <x:c r="J248" s="2" t="str">
        <x:v>sword</x:v>
      </x:c>
      <x:c r="K248" s="20" t="n">
        <x:v>0.025</x:v>
      </x:c>
      <x:c r="L248" s="11" t="str">
        <x:v>Plain hand-forged hooks.</x:v>
      </x:c>
    </x:row>
    <x:row r="249" ht="38" customHeight="1">
      <x:c r="C249" s="2" t="str">
        <x:v>bowl</x:v>
      </x:c>
      <x:c r="D249" s="11" t="str">
        <x:v>Household goods and lighting</x:v>
      </x:c>
      <x:c r="E249" s="11" t="str">
        <x:v>Wooden bowl</x:v>
      </x:c>
      <x:c r="F249" s="11" t="str">
        <x:v>each</x:v>
      </x:c>
      <x:c r="G249" s="51" t="n">
        <x:f>'Basis'!$F$101*K249</x:f>
        <x:v>0.009466811640388553</x:v>
      </x:c>
      <x:c r="H249" s="52" t="n">
        <x:f>G249*'Basis'!$D$7</x:f>
        <x:v>1.9880304444815962</x:v>
      </x:c>
      <x:c r="I249" s="52" t="n">
        <x:f>H249*'Basis'!$D$8</x:f>
        <x:v>111.32970489096938</x:v>
      </x:c>
      <x:c r="J249" s="2" t="str">
        <x:v>sword</x:v>
      </x:c>
      <x:c r="K249" s="20" t="n">
        <x:v>0.01</x:v>
      </x:c>
      <x:c r="L249" s="11" t="str">
        <x:v>Plain turned bowl.</x:v>
      </x:c>
    </x:row>
    <x:row r="250" ht="38" customHeight="1">
      <x:c r="C250" s="2" t="str">
        <x:v>spoon</x:v>
      </x:c>
      <x:c r="D250" s="11" t="str">
        <x:v>Household goods and lighting</x:v>
      </x:c>
      <x:c r="E250" s="11" t="str">
        <x:v>Wooden spoon</x:v>
      </x:c>
      <x:c r="F250" s="11" t="str">
        <x:v>each</x:v>
      </x:c>
      <x:c r="G250" s="51" t="n">
        <x:f>'Basis'!$F$101*K250</x:f>
        <x:v>0.0037867246561554217</x:v>
      </x:c>
      <x:c r="H250" s="52" t="n">
        <x:f>G250*'Basis'!$D$7</x:f>
        <x:v>0.7952121777926385</x:v>
      </x:c>
      <x:c r="I250" s="52" t="n">
        <x:f>H250*'Basis'!$D$8</x:f>
        <x:v>44.53188195638776</x:v>
      </x:c>
      <x:c r="J250" s="2" t="str">
        <x:v>sword</x:v>
      </x:c>
      <x:c r="K250" s="20" t="n">
        <x:v>0.004</x:v>
      </x:c>
      <x:c r="L250" s="11" t="str">
        <x:v>Plain spoon.</x:v>
      </x:c>
    </x:row>
    <x:row r="251" ht="38" customHeight="1">
      <x:c r="C251" s="2" t="str">
        <x:v>cup</x:v>
      </x:c>
      <x:c r="D251" s="11" t="str">
        <x:v>Household goods and lighting</x:v>
      </x:c>
      <x:c r="E251" s="11" t="str">
        <x:v>Earthenware cup</x:v>
      </x:c>
      <x:c r="F251" s="11" t="str">
        <x:v>each</x:v>
      </x:c>
      <x:c r="G251" s="51" t="n">
        <x:f>'Basis'!$F$101*K251</x:f>
        <x:v>0.0056800869842331325</x:v>
      </x:c>
      <x:c r="H251" s="52" t="n">
        <x:f>G251*'Basis'!$D$7</x:f>
        <x:v>1.1928182666889577</x:v>
      </x:c>
      <x:c r="I251" s="52" t="n">
        <x:f>H251*'Basis'!$D$8</x:f>
        <x:v>66.79782293458163</x:v>
      </x:c>
      <x:c r="J251" s="2" t="str">
        <x:v>sword</x:v>
      </x:c>
      <x:c r="K251" s="20" t="n">
        <x:v>0.006</x:v>
      </x:c>
      <x:c r="L251" s="11" t="str">
        <x:v>Ordinary fired cup.</x:v>
      </x:c>
    </x:row>
    <x:row r="252" ht="38" customHeight="1">
      <x:c r="C252" s="2" t="str">
        <x:v>jug</x:v>
      </x:c>
      <x:c r="D252" s="11" t="str">
        <x:v>Household goods and lighting</x:v>
      </x:c>
      <x:c r="E252" s="11" t="str">
        <x:v>Earthenware jug</x:v>
      </x:c>
      <x:c r="F252" s="11" t="str">
        <x:v>1-gallon capacity</x:v>
      </x:c>
      <x:c r="G252" s="51" t="n">
        <x:f>'Basis'!$F$101*K252</x:f>
        <x:v>0.023667029100971387</x:v>
      </x:c>
      <x:c r="H252" s="52" t="n">
        <x:f>G252*'Basis'!$D$7</x:f>
        <x:v>4.9700761112039915</x:v>
      </x:c>
      <x:c r="I252" s="52" t="n">
        <x:f>H252*'Basis'!$D$8</x:f>
        <x:v>278.3242622274235</x:v>
      </x:c>
      <x:c r="J252" s="2" t="str">
        <x:v>sword</x:v>
      </x:c>
      <x:c r="K252" s="20" t="n">
        <x:v>0.025</x:v>
      </x:c>
      <x:c r="L252" s="11" t="str">
        <x:v>Plain sound jug.</x:v>
      </x:c>
    </x:row>
    <x:row r="253" ht="38" customHeight="1">
      <x:c r="C253" s="2" t="str">
        <x:v>crock</x:v>
      </x:c>
      <x:c r="D253" s="11" t="str">
        <x:v>Household goods and lighting</x:v>
      </x:c>
      <x:c r="E253" s="11" t="str">
        <x:v>Storage crock</x:v>
      </x:c>
      <x:c r="F253" s="11" t="str">
        <x:v>5-gallon capacity</x:v>
      </x:c>
      <x:c r="G253" s="51" t="n">
        <x:f>'Basis'!$F$101*K253</x:f>
        <x:v>0.06626768148271989</x:v>
      </x:c>
      <x:c r="H253" s="52" t="n">
        <x:f>G253*'Basis'!$D$7</x:f>
        <x:v>13.916213111371176</x:v>
      </x:c>
      <x:c r="I253" s="52" t="n">
        <x:f>H253*'Basis'!$D$8</x:f>
        <x:v>779.3079342367859</x:v>
      </x:c>
      <x:c r="J253" s="2" t="str">
        <x:v>sword</x:v>
      </x:c>
      <x:c r="K253" s="20" t="n">
        <x:v>0.07</x:v>
      </x:c>
      <x:c r="L253" s="11" t="str">
        <x:v>Lid included.</x:v>
      </x:c>
    </x:row>
    <x:row r="254" ht="38" customHeight="1">
      <x:c r="C254" s="2" t="str">
        <x:v>bucket</x:v>
      </x:c>
      <x:c r="D254" s="11" t="str">
        <x:v>Household goods and lighting</x:v>
      </x:c>
      <x:c r="E254" s="11" t="str">
        <x:v>Wood bucket</x:v>
      </x:c>
      <x:c r="F254" s="11" t="str">
        <x:v>2-gallon capacity</x:v>
      </x:c>
      <x:c r="G254" s="51" t="n">
        <x:f>'Basis'!$F$101*K254</x:f>
        <x:v>0.03313384074135994</x:v>
      </x:c>
      <x:c r="H254" s="52" t="n">
        <x:f>G254*'Basis'!$D$7</x:f>
        <x:v>6.958106555685588</x:v>
      </x:c>
      <x:c r="I254" s="52" t="n">
        <x:f>H254*'Basis'!$D$8</x:f>
        <x:v>389.6539671183929</x:v>
      </x:c>
      <x:c r="J254" s="2" t="str">
        <x:v>sword</x:v>
      </x:c>
      <x:c r="K254" s="20" t="n">
        <x:v>0.035</x:v>
      </x:c>
      <x:c r="L254" s="11" t="str">
        <x:v>Hoops and handle included.</x:v>
      </x:c>
    </x:row>
    <x:row r="255" ht="38" customHeight="1">
      <x:c r="C255" s="2" t="str">
        <x:v>tub</x:v>
      </x:c>
      <x:c r="D255" s="11" t="str">
        <x:v>Household goods and lighting</x:v>
      </x:c>
      <x:c r="E255" s="11" t="str">
        <x:v>Wash tub</x:v>
      </x:c>
      <x:c r="F255" s="11" t="str">
        <x:v>20-gallon capacity</x:v>
      </x:c>
      <x:c r="G255" s="51" t="n">
        <x:f>'Basis'!$F$101*K255</x:f>
        <x:v>0.09466811640388555</x:v>
      </x:c>
      <x:c r="H255" s="52" t="n">
        <x:f>G255*'Basis'!$D$7</x:f>
        <x:v>19.880304444815966</x:v>
      </x:c>
      <x:c r="I255" s="52" t="n">
        <x:f>H255*'Basis'!$D$8</x:f>
        <x:v>1113.297048909694</x:v>
      </x:c>
      <x:c r="J255" s="2" t="str">
        <x:v>sword</x:v>
      </x:c>
      <x:c r="K255" s="20" t="n">
        <x:v>0.1</x:v>
      </x:c>
      <x:c r="L255" s="11" t="str">
        <x:v>Sound coopered tub.</x:v>
      </x:c>
    </x:row>
    <x:row r="256" ht="38" customHeight="1">
      <x:c r="C256" s="2" t="str">
        <x:v>barrel</x:v>
      </x:c>
      <x:c r="D256" s="11" t="str">
        <x:v>Household goods and lighting</x:v>
      </x:c>
      <x:c r="E256" s="11" t="str">
        <x:v>Empty ale barrel</x:v>
      </x:c>
      <x:c r="F256" s="11" t="str">
        <x:v>36-gallon capacity</x:v>
      </x:c>
      <x:c r="G256" s="51" t="n">
        <x:f>'Basis'!$F$101*K256</x:f>
        <x:v>0.17040260952699396</x:v>
      </x:c>
      <x:c r="H256" s="52" t="n">
        <x:f>G256*'Basis'!$D$7</x:f>
        <x:v>35.78454800066873</x:v>
      </x:c>
      <x:c r="I256" s="52" t="n">
        <x:f>H256*'Basis'!$D$8</x:f>
        <x:v>2003.9346880374487</x:v>
      </x:c>
      <x:c r="J256" s="2" t="str">
        <x:v>sword</x:v>
      </x:c>
      <x:c r="K256" s="20" t="n">
        <x:v>0.18</x:v>
      </x:c>
      <x:c r="L256" s="11" t="str">
        <x:v>Sound coopered barrel.</x:v>
      </x:c>
    </x:row>
    <x:row r="257" ht="38" customHeight="1">
      <x:c r="C257" s="2" t="str">
        <x:v>wine_cask</x:v>
      </x:c>
      <x:c r="D257" s="11" t="str">
        <x:v>Household goods and lighting</x:v>
      </x:c>
      <x:c r="E257" s="11" t="str">
        <x:v>Empty wine cask</x:v>
      </x:c>
      <x:c r="F257" s="11" t="str">
        <x:v>31.5-gallon capacity</x:v>
      </x:c>
      <x:c r="G257" s="51" t="n">
        <x:f>'Basis'!$F$101*K257</x:f>
        <x:v>0.20826985608854817</x:v>
      </x:c>
      <x:c r="H257" s="52" t="n">
        <x:f>G257*'Basis'!$D$7</x:f>
        <x:v>43.736669778595115</x:v>
      </x:c>
      <x:c r="I257" s="52" t="n">
        <x:f>H257*'Basis'!$D$8</x:f>
        <x:v>2449.2535076013264</x:v>
      </x:c>
      <x:c r="J257" s="2" t="str">
        <x:v>sword</x:v>
      </x:c>
      <x:c r="K257" s="20" t="n">
        <x:v>0.22</x:v>
      </x:c>
      <x:c r="L257" s="11" t="str">
        <x:v>Tight cooperage.</x:v>
      </x:c>
    </x:row>
    <x:row r="258" ht="38" customHeight="1">
      <x:c r="C258" s="2" t="str">
        <x:v>grain_sack</x:v>
      </x:c>
      <x:c r="D258" s="11" t="str">
        <x:v>Household goods and lighting</x:v>
      </x:c>
      <x:c r="E258" s="11" t="str">
        <x:v>Grain sack</x:v>
      </x:c>
      <x:c r="F258" s="11" t="str">
        <x:v>1-quarter capacity</x:v>
      </x:c>
      <x:c r="G258" s="51" t="n">
        <x:f>'Basis'!$F$101*K258</x:f>
        <x:v>0.023667029100971387</x:v>
      </x:c>
      <x:c r="H258" s="52" t="n">
        <x:f>G258*'Basis'!$D$7</x:f>
        <x:v>4.9700761112039915</x:v>
      </x:c>
      <x:c r="I258" s="52" t="n">
        <x:f>H258*'Basis'!$D$8</x:f>
        <x:v>278.3242622274235</x:v>
      </x:c>
      <x:c r="J258" s="2" t="str">
        <x:v>sword</x:v>
      </x:c>
      <x:c r="K258" s="20" t="n">
        <x:v>0.025</x:v>
      </x:c>
      <x:c r="L258" s="11" t="str">
        <x:v>Heavy reusable canvas; empty.</x:v>
      </x:c>
    </x:row>
    <x:row r="259" ht="38" customHeight="1">
      <x:c r="C259" s="2" t="str">
        <x:v>basket</x:v>
      </x:c>
      <x:c r="D259" s="11" t="str">
        <x:v>Household goods and lighting</x:v>
      </x:c>
      <x:c r="E259" s="11" t="str">
        <x:v>Wicker basket</x:v>
      </x:c>
      <x:c r="F259" s="11" t="str">
        <x:v>1-bushel capacity</x:v>
      </x:c>
      <x:c r="G259" s="51" t="n">
        <x:f>'Basis'!$F$101*K259</x:f>
        <x:v>0.011360173968466265</x:v>
      </x:c>
      <x:c r="H259" s="52" t="n">
        <x:f>G259*'Basis'!$D$7</x:f>
        <x:v>2.3856365333779155</x:v>
      </x:c>
      <x:c r="I259" s="52" t="n">
        <x:f>H259*'Basis'!$D$8</x:f>
        <x:v>133.59564586916326</x:v>
      </x:c>
      <x:c r="J259" s="2" t="str">
        <x:v>sword</x:v>
      </x:c>
      <x:c r="K259" s="20" t="n">
        <x:v>0.012</x:v>
      </x:c>
      <x:c r="L259" s="11" t="str">
        <x:v>Plain working basket.</x:v>
      </x:c>
    </x:row>
    <x:row r="260" ht="38" customHeight="1">
      <x:c r="C260" s="2" t="str">
        <x:v>chest</x:v>
      </x:c>
      <x:c r="D260" s="11" t="str">
        <x:v>Household goods and lighting</x:v>
      </x:c>
      <x:c r="E260" s="11" t="str">
        <x:v>Wooden chest</x:v>
      </x:c>
      <x:c r="F260" s="11" t="str">
        <x:v>3-ft chest</x:v>
      </x:c>
      <x:c r="G260" s="51" t="n">
        <x:f>'Basis'!$F$101*K260</x:f>
        <x:v>0.2840043492116566</x:v>
      </x:c>
      <x:c r="H260" s="52" t="n">
        <x:f>G260*'Basis'!$D$7</x:f>
        <x:v>59.640913334447895</x:v>
      </x:c>
      <x:c r="I260" s="52" t="n">
        <x:f>H260*'Basis'!$D$8</x:f>
        <x:v>3339.8911467290823</x:v>
      </x:c>
      <x:c r="J260" s="2" t="str">
        <x:v>sword</x:v>
      </x:c>
      <x:c r="K260" s="20" t="n">
        <x:v>0.3</x:v>
      </x:c>
      <x:c r="L260" s="11" t="str">
        <x:v>Plain hinges; lock extra.</x:v>
      </x:c>
    </x:row>
    <x:row r="261" ht="38" customHeight="1">
      <x:c r="C261" s="2" t="str">
        <x:v>table</x:v>
      </x:c>
      <x:c r="D261" s="11" t="str">
        <x:v>Household goods and lighting</x:v>
      </x:c>
      <x:c r="E261" s="11" t="str">
        <x:v>Plain wooden table</x:v>
      </x:c>
      <x:c r="F261" s="11" t="str">
        <x:v>6-ft table</x:v>
      </x:c>
      <x:c r="G261" s="51" t="n">
        <x:f>'Basis'!$F$101*K261</x:f>
        <x:v>0.3786724656155422</x:v>
      </x:c>
      <x:c r="H261" s="52" t="n">
        <x:f>G261*'Basis'!$D$7</x:f>
        <x:v>79.52121777926386</x:v>
      </x:c>
      <x:c r="I261" s="52" t="n">
        <x:f>H261*'Basis'!$D$8</x:f>
        <x:v>4453.188195638776</x:v>
      </x:c>
      <x:c r="J261" s="2" t="str">
        <x:v>sword</x:v>
      </x:c>
      <x:c r="K261" s="20" t="n">
        <x:v>0.4</x:v>
      </x:c>
      <x:c r="L261" s="11" t="str">
        <x:v>Finished household table.</x:v>
      </x:c>
    </x:row>
    <x:row r="262" ht="38" customHeight="1">
      <x:c r="C262" s="2" t="str">
        <x:v>bench</x:v>
      </x:c>
      <x:c r="D262" s="11" t="str">
        <x:v>Household goods and lighting</x:v>
      </x:c>
      <x:c r="E262" s="11" t="str">
        <x:v>Wooden bench</x:v>
      </x:c>
      <x:c r="F262" s="11" t="str">
        <x:v>6-ft bench</x:v>
      </x:c>
      <x:c r="G262" s="51" t="n">
        <x:f>'Basis'!$F$101*K262</x:f>
        <x:v>0.15146898624621685</x:v>
      </x:c>
      <x:c r="H262" s="52" t="n">
        <x:f>G262*'Basis'!$D$7</x:f>
        <x:v>31.80848711170554</x:v>
      </x:c>
      <x:c r="I262" s="52" t="n">
        <x:f>H262*'Basis'!$D$8</x:f>
        <x:v>1781.27527825551</x:v>
      </x:c>
      <x:c r="J262" s="2" t="str">
        <x:v>sword</x:v>
      </x:c>
      <x:c r="K262" s="20" t="n">
        <x:v>0.16</x:v>
      </x:c>
      <x:c r="L262" s="11" t="str">
        <x:v>Plain finished bench.</x:v>
      </x:c>
    </x:row>
    <x:row r="263" ht="38" customHeight="1">
      <x:c r="C263" s="2" t="str">
        <x:v>chair</x:v>
      </x:c>
      <x:c r="D263" s="11" t="str">
        <x:v>Household goods and lighting</x:v>
      </x:c>
      <x:c r="E263" s="11" t="str">
        <x:v>Wooden chair</x:v>
      </x:c>
      <x:c r="F263" s="11" t="str">
        <x:v>each</x:v>
      </x:c>
      <x:c r="G263" s="51" t="n">
        <x:f>'Basis'!$F$101*K263</x:f>
        <x:v>0.17040260952699396</x:v>
      </x:c>
      <x:c r="H263" s="52" t="n">
        <x:f>G263*'Basis'!$D$7</x:f>
        <x:v>35.78454800066873</x:v>
      </x:c>
      <x:c r="I263" s="52" t="n">
        <x:f>H263*'Basis'!$D$8</x:f>
        <x:v>2003.9346880374487</x:v>
      </x:c>
      <x:c r="J263" s="2" t="str">
        <x:v>sword</x:v>
      </x:c>
      <x:c r="K263" s="20" t="n">
        <x:v>0.18</x:v>
      </x:c>
      <x:c r="L263" s="11" t="str">
        <x:v>Plain chair.</x:v>
      </x:c>
    </x:row>
    <x:row r="264" ht="38" customHeight="1">
      <x:c r="C264" s="2" t="str">
        <x:v>bedframe</x:v>
      </x:c>
      <x:c r="D264" s="11" t="str">
        <x:v>Household goods and lighting</x:v>
      </x:c>
      <x:c r="E264" s="11" t="str">
        <x:v>Wooden bed frame</x:v>
      </x:c>
      <x:c r="F264" s="11" t="str">
        <x:v>single</x:v>
      </x:c>
      <x:c r="G264" s="51" t="n">
        <x:f>'Basis'!$F$101*K264</x:f>
        <x:v>0.4733405820194277</x:v>
      </x:c>
      <x:c r="H264" s="52" t="n">
        <x:f>G264*'Basis'!$D$7</x:f>
        <x:v>99.40152222407981</x:v>
      </x:c>
      <x:c r="I264" s="52" t="n">
        <x:f>H264*'Basis'!$D$8</x:f>
        <x:v>5566.485244548469</x:v>
      </x:c>
      <x:c r="J264" s="2" t="str">
        <x:v>sword</x:v>
      </x:c>
      <x:c r="K264" s="20" t="n">
        <x:v>0.5</x:v>
      </x:c>
      <x:c r="L264" s="11" t="str">
        <x:v>Bedding extra.</x:v>
      </x:c>
    </x:row>
    <x:row r="265" ht="38" customHeight="1">
      <x:c r="C265" s="2" t="str">
        <x:v>tallow_candle</x:v>
      </x:c>
      <x:c r="D265" s="11" t="str">
        <x:v>Household goods and lighting</x:v>
      </x:c>
      <x:c r="E265" s="11" t="str">
        <x:v>Tallow candles</x:v>
      </x:c>
      <x:c r="F265" s="11" t="str">
        <x:v>lb</x:v>
      </x:c>
      <x:c r="G265" s="51" t="n">
        <x:f>'Basis'!$F$101*K265</x:f>
        <x:v>0.007573449312310843</x:v>
      </x:c>
      <x:c r="H265" s="52" t="n">
        <x:f>G265*'Basis'!$D$7</x:f>
        <x:v>1.590424355585277</x:v>
      </x:c>
      <x:c r="I265" s="52" t="n">
        <x:f>H265*'Basis'!$D$8</x:f>
        <x:v>89.06376391277551</x:v>
      </x:c>
      <x:c r="J265" s="2" t="str">
        <x:v>sword</x:v>
      </x:c>
      <x:c r="K265" s="20" t="n">
        <x:v>0.008</x:v>
      </x:c>
      <x:c r="L265" s="11" t="str">
        <x:v>Ordinary finished candles.</x:v>
      </x:c>
    </x:row>
    <x:row r="266" ht="38" customHeight="1">
      <x:c r="C266" s="2" t="str">
        <x:v>wax_candle</x:v>
      </x:c>
      <x:c r="D266" s="11" t="str">
        <x:v>Household goods and lighting</x:v>
      </x:c>
      <x:c r="E266" s="11" t="str">
        <x:v>Beeswax candles</x:v>
      </x:c>
      <x:c r="F266" s="11" t="str">
        <x:v>lb</x:v>
      </x:c>
      <x:c r="G266" s="51" t="n">
        <x:f>'Basis'!$F$101*K266</x:f>
        <x:v>0.016093579788660543</x:v>
      </x:c>
      <x:c r="H266" s="52" t="n">
        <x:f>G266*'Basis'!$D$7</x:f>
        <x:v>3.3796517556187142</x:v>
      </x:c>
      <x:c r="I266" s="52" t="n">
        <x:f>H266*'Basis'!$D$8</x:f>
        <x:v>189.260498314648</x:v>
      </x:c>
      <x:c r="J266" s="2" t="str">
        <x:v>sword</x:v>
      </x:c>
      <x:c r="K266" s="20" t="n">
        <x:v>0.017</x:v>
      </x:c>
      <x:c r="L266" s="11" t="str">
        <x:v>Finished candles.</x:v>
      </x:c>
    </x:row>
    <x:row r="267" ht="38" customHeight="1">
      <x:c r="C267" s="2" t="str">
        <x:v>rushlight</x:v>
      </x:c>
      <x:c r="D267" s="11" t="str">
        <x:v>Household goods and lighting</x:v>
      </x:c>
      <x:c r="E267" s="11" t="str">
        <x:v>Rushlights</x:v>
      </x:c>
      <x:c r="F267" s="11" t="str">
        <x:v>bundle of 24</x:v>
      </x:c>
      <x:c r="G267" s="51" t="n">
        <x:f>'Basis'!$F$101*K267</x:f>
        <x:v>0.0028400434921165662</x:v>
      </x:c>
      <x:c r="H267" s="52" t="n">
        <x:f>G267*'Basis'!$D$7</x:f>
        <x:v>0.5964091333444789</x:v>
      </x:c>
      <x:c r="I267" s="52" t="n">
        <x:f>H267*'Basis'!$D$8</x:f>
        <x:v>33.398911467290816</x:v>
      </x:c>
      <x:c r="J267" s="2" t="str">
        <x:v>sword</x:v>
      </x:c>
      <x:c r="K267" s="20" t="n">
        <x:v>0.003</x:v>
      </x:c>
      <x:c r="L267" s="11" t="str">
        <x:v>Prepared ordinary lights.</x:v>
      </x:c>
    </x:row>
    <x:row r="268" ht="38" customHeight="1">
      <x:c r="C268" s="2" t="str">
        <x:v>lantern</x:v>
      </x:c>
      <x:c r="D268" s="11" t="str">
        <x:v>Household goods and lighting</x:v>
      </x:c>
      <x:c r="E268" s="11" t="str">
        <x:v>Iron lantern</x:v>
      </x:c>
      <x:c r="F268" s="11" t="str">
        <x:v>each</x:v>
      </x:c>
      <x:c r="G268" s="51" t="n">
        <x:f>'Basis'!$F$101*K268</x:f>
        <x:v>0.15146898624621685</x:v>
      </x:c>
      <x:c r="H268" s="52" t="n">
        <x:f>G268*'Basis'!$D$7</x:f>
        <x:v>31.80848711170554</x:v>
      </x:c>
      <x:c r="I268" s="52" t="n">
        <x:f>H268*'Basis'!$D$8</x:f>
        <x:v>1781.27527825551</x:v>
      </x:c>
      <x:c r="J268" s="2" t="str">
        <x:v>sword</x:v>
      </x:c>
      <x:c r="K268" s="20" t="n">
        <x:v>0.16</x:v>
      </x:c>
      <x:c r="L268" s="11" t="str">
        <x:v>Horn panes; fuel extra.</x:v>
      </x:c>
    </x:row>
    <x:row r="269" ht="38" customHeight="1">
      <x:c r="C269" s="2" t="str">
        <x:v>lamp</x:v>
      </x:c>
      <x:c r="D269" s="11" t="str">
        <x:v>Household goods and lighting</x:v>
      </x:c>
      <x:c r="E269" s="11" t="str">
        <x:v>Earthenware oil lamp</x:v>
      </x:c>
      <x:c r="F269" s="11" t="str">
        <x:v>each</x:v>
      </x:c>
      <x:c r="G269" s="51" t="n">
        <x:f>'Basis'!$F$101*K269</x:f>
        <x:v>0.01420021746058283</x:v>
      </x:c>
      <x:c r="H269" s="52" t="n">
        <x:f>G269*'Basis'!$D$7</x:f>
        <x:v>2.9820456667223945</x:v>
      </x:c>
      <x:c r="I269" s="52" t="n">
        <x:f>H269*'Basis'!$D$8</x:f>
        <x:v>166.99455733645408</x:v>
      </x:c>
      <x:c r="J269" s="2" t="str">
        <x:v>sword</x:v>
      </x:c>
      <x:c r="K269" s="20" t="n">
        <x:v>0.015</x:v>
      </x:c>
      <x:c r="L269" s="11" t="str">
        <x:v>Fuel extra.</x:v>
      </x:c>
    </x:row>
    <x:row r="270" ht="38" customHeight="1">
      <x:c r="C270" s="2" t="str">
        <x:v>soap</x:v>
      </x:c>
      <x:c r="D270" s="11" t="str">
        <x:v>Household goods and lighting</x:v>
      </x:c>
      <x:c r="E270" s="11" t="str">
        <x:v>Soft soap</x:v>
      </x:c>
      <x:c r="F270" s="11" t="str">
        <x:v>lb</x:v>
      </x:c>
      <x:c r="G270" s="51" t="n">
        <x:f>'Basis'!$F$101*K270</x:f>
        <x:v>0.011360173968466265</x:v>
      </x:c>
      <x:c r="H270" s="52" t="n">
        <x:f>G270*'Basis'!$D$7</x:f>
        <x:v>2.3856365333779155</x:v>
      </x:c>
      <x:c r="I270" s="52" t="n">
        <x:f>H270*'Basis'!$D$8</x:f>
        <x:v>133.59564586916326</x:v>
      </x:c>
      <x:c r="J270" s="2" t="str">
        <x:v>sword</x:v>
      </x:c>
      <x:c r="K270" s="20" t="n">
        <x:v>0.012</x:v>
      </x:c>
      <x:c r="L270" s="11" t="str">
        <x:v>Ordinary soap.</x:v>
      </x:c>
    </x:row>
    <x:row r="271" ht="38" customHeight="1">
      <x:c r="C271" s="2" t="str">
        <x:v>comb</x:v>
      </x:c>
      <x:c r="D271" s="11" t="str">
        <x:v>Household goods and lighting</x:v>
      </x:c>
      <x:c r="E271" s="11" t="str">
        <x:v>Wooden or bone comb</x:v>
      </x:c>
      <x:c r="F271" s="11" t="str">
        <x:v>each</x:v>
      </x:c>
      <x:c r="G271" s="51" t="n">
        <x:f>'Basis'!$F$101*K271</x:f>
        <x:v>0.011360173968466265</x:v>
      </x:c>
      <x:c r="H271" s="52" t="n">
        <x:f>G271*'Basis'!$D$7</x:f>
        <x:v>2.3856365333779155</x:v>
      </x:c>
      <x:c r="I271" s="52" t="n">
        <x:f>H271*'Basis'!$D$8</x:f>
        <x:v>133.59564586916326</x:v>
      </x:c>
      <x:c r="J271" s="2" t="str">
        <x:v>sword</x:v>
      </x:c>
      <x:c r="K271" s="20" t="n">
        <x:v>0.012</x:v>
      </x:c>
      <x:c r="L271" s="11" t="str">
        <x:v>Plain finished comb.</x:v>
      </x:c>
    </x:row>
    <x:row r="272" ht="38" customHeight="1">
      <x:c r="C272" s="2" t="str">
        <x:v>broom</x:v>
      </x:c>
      <x:c r="D272" s="11" t="str">
        <x:v>Household goods and lighting</x:v>
      </x:c>
      <x:c r="E272" s="11" t="str">
        <x:v>Broom</x:v>
      </x:c>
      <x:c r="F272" s="11" t="str">
        <x:v>each</x:v>
      </x:c>
      <x:c r="G272" s="51" t="n">
        <x:f>'Basis'!$F$101*K272</x:f>
        <x:v>0.009466811640388553</x:v>
      </x:c>
      <x:c r="H272" s="52" t="n">
        <x:f>G272*'Basis'!$D$7</x:f>
        <x:v>1.9880304444815962</x:v>
      </x:c>
      <x:c r="I272" s="52" t="n">
        <x:f>H272*'Basis'!$D$8</x:f>
        <x:v>111.32970489096938</x:v>
      </x:c>
      <x:c r="J272" s="2" t="str">
        <x:v>sword</x:v>
      </x:c>
      <x:c r="K272" s="20" t="n">
        <x:v>0.01</x:v>
      </x:c>
      <x:c r="L272" s="11" t="str">
        <x:v>Finished household broom.</x:v>
      </x:c>
    </x:row>
    <x:row r="273" ht="38" customHeight="1">
      <x:c r="C273" s="2" t="str">
        <x:v>sword</x:v>
      </x:c>
      <x:c r="D273" s="11" t="str">
        <x:v>Weapons, armour and siege stores</x:v>
      </x:c>
      <x:c r="E273" s="11" t="str">
        <x:v>Ordinary service sword</x:v>
      </x:c>
      <x:c r="F273" s="11" t="str">
        <x:v>each</x:v>
      </x:c>
      <x:c r="G273" s="51" t="n">
        <x:f>'Basis'!$F$101*K273</x:f>
        <x:v>0.9466811640388554</x:v>
      </x:c>
      <x:c r="H273" s="52" t="n">
        <x:f>G273*'Basis'!$D$7</x:f>
        <x:v>198.80304444815962</x:v>
      </x:c>
      <x:c r="I273" s="52" t="n">
        <x:f>H273*'Basis'!$D$8</x:f>
        <x:v>11132.970489096939</x:v>
      </x:c>
      <x:c r="J273" s="2" t="str">
        <x:v>sword</x:v>
      </x:c>
      <x:c r="K273" s="20" t="n">
        <x:v>1</x:v>
      </x:c>
      <x:c r="L273" s="11" t="str">
        <x:v>Finished blade, plain hilt; fiscal-model anchor.</x:v>
      </x:c>
    </x:row>
    <x:row r="274" ht="38" customHeight="1">
      <x:c r="C274" s="2" t="str">
        <x:v>mail</x:v>
      </x:c>
      <x:c r="D274" s="11" t="str">
        <x:v>Weapons, armour and siege stores</x:v>
      </x:c>
      <x:c r="E274" s="11" t="str">
        <x:v>Mail shirt</x:v>
      </x:c>
      <x:c r="F274" s="11" t="str">
        <x:v>each</x:v>
      </x:c>
      <x:c r="G274" s="51" t="n">
        <x:f>'Basis'!$F$102*K274</x:f>
        <x:v>3.7867246561554215</x:v>
      </x:c>
      <x:c r="H274" s="52" t="n">
        <x:f>G274*'Basis'!$D$7</x:f>
        <x:v>795.2121777926385</x:v>
      </x:c>
      <x:c r="I274" s="52" t="n">
        <x:f>H274*'Basis'!$D$8</x:f>
        <x:v>44531.881956387755</x:v>
      </x:c>
      <x:c r="J274" s="2" t="str">
        <x:v>mail</x:v>
      </x:c>
      <x:c r="K274" s="20" t="n">
        <x:v>1</x:v>
      </x:c>
      <x:c r="L274" s="11" t="str">
        <x:v>Ordinary fitted mail shirt; fiscal-model anchor.</x:v>
      </x:c>
    </x:row>
    <x:row r="275" ht="38" customHeight="1">
      <x:c r="C275" s="2" t="str">
        <x:v>good_sword</x:v>
      </x:c>
      <x:c r="D275" s="11" t="str">
        <x:v>Weapons, armour and siege stores</x:v>
      </x:c>
      <x:c r="E275" s="11" t="str">
        <x:v>Good quality sword</x:v>
      </x:c>
      <x:c r="F275" s="11" t="str">
        <x:v>each</x:v>
      </x:c>
      <x:c r="G275" s="51" t="n">
        <x:f>'Basis'!$F$101*K275</x:f>
        <x:v>2.3667029100971386</x:v>
      </x:c>
      <x:c r="H275" s="52" t="n">
        <x:f>G275*'Basis'!$D$7</x:f>
        <x:v>497.00761112039913</x:v>
      </x:c>
      <x:c r="I275" s="52" t="n">
        <x:f>H275*'Basis'!$D$8</x:f>
        <x:v>27832.426222742353</x:v>
      </x:c>
      <x:c r="J275" s="2" t="str">
        <x:v>sword</x:v>
      </x:c>
      <x:c r="K275" s="20" t="n">
        <x:v>2.5</x:v>
      </x:c>
      <x:c r="L275" s="11" t="str">
        <x:v>Superior steel and finish; no magical metal.</x:v>
      </x:c>
    </x:row>
    <x:row r="276" ht="38" customHeight="1">
      <x:c r="C276" s="2" t="str">
        <x:v>dagger</x:v>
      </x:c>
      <x:c r="D276" s="11" t="str">
        <x:v>Weapons, armour and siege stores</x:v>
      </x:c>
      <x:c r="E276" s="11" t="str">
        <x:v>Fighting dagger</x:v>
      </x:c>
      <x:c r="F276" s="11" t="str">
        <x:v>each</x:v>
      </x:c>
      <x:c r="G276" s="51" t="n">
        <x:f>'Basis'!$F$101*K276</x:f>
        <x:v>0.23667029100971385</x:v>
      </x:c>
      <x:c r="H276" s="52" t="n">
        <x:f>G276*'Basis'!$D$7</x:f>
        <x:v>49.700761112039906</x:v>
      </x:c>
      <x:c r="I276" s="52" t="n">
        <x:f>H276*'Basis'!$D$8</x:f>
        <x:v>2783.2426222742347</x:v>
      </x:c>
      <x:c r="J276" s="2" t="str">
        <x:v>sword</x:v>
      </x:c>
      <x:c r="K276" s="20" t="n">
        <x:v>0.25</x:v>
      </x:c>
      <x:c r="L276" s="11" t="str">
        <x:v>Plain finished weapon.</x:v>
      </x:c>
    </x:row>
    <x:row r="277" ht="38" customHeight="1">
      <x:c r="C277" s="2" t="str">
        <x:v>spear</x:v>
      </x:c>
      <x:c r="D277" s="11" t="str">
        <x:v>Weapons, armour and siege stores</x:v>
      </x:c>
      <x:c r="E277" s="11" t="str">
        <x:v>Infantry spear</x:v>
      </x:c>
      <x:c r="F277" s="11" t="str">
        <x:v>each</x:v>
      </x:c>
      <x:c r="G277" s="51" t="n">
        <x:f>'Basis'!$F$101*K277</x:f>
        <x:v>0.11360173968466264</x:v>
      </x:c>
      <x:c r="H277" s="52" t="n">
        <x:f>G277*'Basis'!$D$7</x:f>
        <x:v>23.856365333779156</x:v>
      </x:c>
      <x:c r="I277" s="52" t="n">
        <x:f>H277*'Basis'!$D$8</x:f>
        <x:v>1335.9564586916326</x:v>
      </x:c>
      <x:c r="J277" s="2" t="str">
        <x:v>sword</x:v>
      </x:c>
      <x:c r="K277" s="20" t="n">
        <x:v>0.12</x:v>
      </x:c>
      <x:c r="L277" s="11" t="str">
        <x:v>Iron head and 7-ft shaft.</x:v>
      </x:c>
    </x:row>
    <x:row r="278" ht="38" customHeight="1">
      <x:c r="C278" s="2" t="str">
        <x:v>pike</x:v>
      </x:c>
      <x:c r="D278" s="11" t="str">
        <x:v>Weapons, armour and siege stores</x:v>
      </x:c>
      <x:c r="E278" s="11" t="str">
        <x:v>Long pike</x:v>
      </x:c>
      <x:c r="F278" s="11" t="str">
        <x:v>each</x:v>
      </x:c>
      <x:c r="G278" s="51" t="n">
        <x:f>'Basis'!$F$101*K278</x:f>
        <x:v>0.1893362328077711</x:v>
      </x:c>
      <x:c r="H278" s="52" t="n">
        <x:f>G278*'Basis'!$D$7</x:f>
        <x:v>39.76060888963193</x:v>
      </x:c>
      <x:c r="I278" s="52" t="n">
        <x:f>H278*'Basis'!$D$8</x:f>
        <x:v>2226.594097819388</x:v>
      </x:c>
      <x:c r="J278" s="2" t="str">
        <x:v>sword</x:v>
      </x:c>
      <x:c r="K278" s="20" t="n">
        <x:v>0.2</x:v>
      </x:c>
      <x:c r="L278" s="11" t="str">
        <x:v>Head and 14-ft shaft.</x:v>
      </x:c>
    </x:row>
    <x:row r="279" ht="38" customHeight="1">
      <x:c r="C279" s="2" t="str">
        <x:v>battleaxe</x:v>
      </x:c>
      <x:c r="D279" s="11" t="str">
        <x:v>Weapons, armour and siege stores</x:v>
      </x:c>
      <x:c r="E279" s="11" t="str">
        <x:v>Battle axe</x:v>
      </x:c>
      <x:c r="F279" s="11" t="str">
        <x:v>each</x:v>
      </x:c>
      <x:c r="G279" s="51" t="n">
        <x:f>'Basis'!$F$101*K279</x:f>
        <x:v>0.2840043492116566</x:v>
      </x:c>
      <x:c r="H279" s="52" t="n">
        <x:f>G279*'Basis'!$D$7</x:f>
        <x:v>59.640913334447895</x:v>
      </x:c>
      <x:c r="I279" s="52" t="n">
        <x:f>H279*'Basis'!$D$8</x:f>
        <x:v>3339.8911467290823</x:v>
      </x:c>
      <x:c r="J279" s="2" t="str">
        <x:v>sword</x:v>
      </x:c>
      <x:c r="K279" s="20" t="n">
        <x:v>0.3</x:v>
      </x:c>
      <x:c r="L279" s="11" t="str">
        <x:v>Finished ordinary weapon.</x:v>
      </x:c>
    </x:row>
    <x:row r="280" ht="38" customHeight="1">
      <x:c r="C280" s="2" t="str">
        <x:v>mace</x:v>
      </x:c>
      <x:c r="D280" s="11" t="str">
        <x:v>Weapons, armour and siege stores</x:v>
      </x:c>
      <x:c r="E280" s="11" t="str">
        <x:v>Iron mace</x:v>
      </x:c>
      <x:c r="F280" s="11" t="str">
        <x:v>each</x:v>
      </x:c>
      <x:c r="G280" s="51" t="n">
        <x:f>'Basis'!$F$101*K280</x:f>
        <x:v>0.26507072593087955</x:v>
      </x:c>
      <x:c r="H280" s="52" t="n">
        <x:f>G280*'Basis'!$D$7</x:f>
        <x:v>55.664852445484705</x:v>
      </x:c>
      <x:c r="I280" s="52" t="n">
        <x:f>H280*'Basis'!$D$8</x:f>
        <x:v>3117.2317369471434</x:v>
      </x:c>
      <x:c r="J280" s="2" t="str">
        <x:v>sword</x:v>
      </x:c>
      <x:c r="K280" s="20" t="n">
        <x:v>0.28</x:v>
      </x:c>
      <x:c r="L280" s="11" t="str">
        <x:v>Finished ordinary weapon.</x:v>
      </x:c>
    </x:row>
    <x:row r="281" ht="38" customHeight="1">
      <x:c r="C281" s="2" t="str">
        <x:v>warhammer</x:v>
      </x:c>
      <x:c r="D281" s="11" t="str">
        <x:v>Weapons, armour and siege stores</x:v>
      </x:c>
      <x:c r="E281" s="11" t="str">
        <x:v>War hammer</x:v>
      </x:c>
      <x:c r="F281" s="11" t="str">
        <x:v>each</x:v>
      </x:c>
      <x:c r="G281" s="51" t="n">
        <x:f>'Basis'!$F$101*K281</x:f>
        <x:v>0.3029379724924337</x:v>
      </x:c>
      <x:c r="H281" s="52" t="n">
        <x:f>G281*'Basis'!$D$7</x:f>
        <x:v>63.61697422341108</x:v>
      </x:c>
      <x:c r="I281" s="52" t="n">
        <x:f>H281*'Basis'!$D$8</x:f>
        <x:v>3562.55055651102</x:v>
      </x:c>
      <x:c r="J281" s="2" t="str">
        <x:v>sword</x:v>
      </x:c>
      <x:c r="K281" s="20" t="n">
        <x:v>0.32</x:v>
      </x:c>
      <x:c r="L281" s="11" t="str">
        <x:v>Finished ordinary weapon.</x:v>
      </x:c>
    </x:row>
    <x:row r="282" ht="38" customHeight="1">
      <x:c r="C282" s="2" t="str">
        <x:v>lance</x:v>
      </x:c>
      <x:c r="D282" s="11" t="str">
        <x:v>Weapons, armour and siege stores</x:v>
      </x:c>
      <x:c r="E282" s="11" t="str">
        <x:v>Cavalry lance</x:v>
      </x:c>
      <x:c r="F282" s="11" t="str">
        <x:v>each</x:v>
      </x:c>
      <x:c r="G282" s="51" t="n">
        <x:f>'Basis'!$F$101*K282</x:f>
        <x:v>0.17040260952699396</x:v>
      </x:c>
      <x:c r="H282" s="52" t="n">
        <x:f>G282*'Basis'!$D$7</x:f>
        <x:v>35.78454800066873</x:v>
      </x:c>
      <x:c r="I282" s="52" t="n">
        <x:f>H282*'Basis'!$D$8</x:f>
        <x:v>2003.9346880374487</x:v>
      </x:c>
      <x:c r="J282" s="2" t="str">
        <x:v>sword</x:v>
      </x:c>
      <x:c r="K282" s="20" t="n">
        <x:v>0.18</x:v>
      </x:c>
      <x:c r="L282" s="11" t="str">
        <x:v>Head and long shaft.</x:v>
      </x:c>
    </x:row>
    <x:row r="283" ht="38" customHeight="1">
      <x:c r="C283" s="2" t="str">
        <x:v>bow</x:v>
      </x:c>
      <x:c r="D283" s="11" t="str">
        <x:v>Weapons, armour and siege stores</x:v>
      </x:c>
      <x:c r="E283" s="11" t="str">
        <x:v>Self bow</x:v>
      </x:c>
      <x:c r="F283" s="11" t="str">
        <x:v>each</x:v>
      </x:c>
      <x:c r="G283" s="51" t="n">
        <x:f>'Basis'!$F$101*K283</x:f>
        <x:v>0.23667029100971385</x:v>
      </x:c>
      <x:c r="H283" s="52" t="n">
        <x:f>G283*'Basis'!$D$7</x:f>
        <x:v>49.700761112039906</x:v>
      </x:c>
      <x:c r="I283" s="52" t="n">
        <x:f>H283*'Basis'!$D$8</x:f>
        <x:v>2783.2426222742347</x:v>
      </x:c>
      <x:c r="J283" s="2" t="str">
        <x:v>sword</x:v>
      </x:c>
      <x:c r="K283" s="20" t="n">
        <x:v>0.25</x:v>
      </x:c>
      <x:c r="L283" s="11" t="str">
        <x:v>War-weight bow, string included.</x:v>
      </x:c>
    </x:row>
    <x:row r="284" ht="38" customHeight="1">
      <x:c r="C284" s="2" t="str">
        <x:v>longbow</x:v>
      </x:c>
      <x:c r="D284" s="11" t="str">
        <x:v>Weapons, armour and siege stores</x:v>
      </x:c>
      <x:c r="E284" s="11" t="str">
        <x:v>Good longbow</x:v>
      </x:c>
      <x:c r="F284" s="11" t="str">
        <x:v>each</x:v>
      </x:c>
      <x:c r="G284" s="51" t="n">
        <x:f>'Basis'!$F$101*K284</x:f>
        <x:v>0.5680086984233133</x:v>
      </x:c>
      <x:c r="H284" s="52" t="n">
        <x:f>G284*'Basis'!$D$7</x:f>
        <x:v>119.28182666889579</x:v>
      </x:c>
      <x:c r="I284" s="52" t="n">
        <x:f>H284*'Basis'!$D$8</x:f>
        <x:v>6679.7822934581645</x:v>
      </x:c>
      <x:c r="J284" s="2" t="str">
        <x:v>sword</x:v>
      </x:c>
      <x:c r="K284" s="20" t="n">
        <x:v>0.6</x:v>
      </x:c>
      <x:c r="L284" s="11" t="str">
        <x:v>Selected stave and string.</x:v>
      </x:c>
    </x:row>
    <x:row r="285" ht="38" customHeight="1">
      <x:c r="C285" s="2" t="str">
        <x:v>crossbow</x:v>
      </x:c>
      <x:c r="D285" s="11" t="str">
        <x:v>Weapons, armour and siege stores</x:v>
      </x:c>
      <x:c r="E285" s="11" t="str">
        <x:v>Crossbow</x:v>
      </x:c>
      <x:c r="F285" s="11" t="str">
        <x:v>each</x:v>
      </x:c>
      <x:c r="G285" s="51" t="n">
        <x:f>'Basis'!$F$101*K285</x:f>
        <x:v>1.1360173968466265</x:v>
      </x:c>
      <x:c r="H285" s="52" t="n">
        <x:f>G285*'Basis'!$D$7</x:f>
        <x:v>238.56365333779158</x:v>
      </x:c>
      <x:c r="I285" s="52" t="n">
        <x:f>H285*'Basis'!$D$8</x:f>
        <x:v>13359.564586916329</x:v>
      </x:c>
      <x:c r="J285" s="2" t="str">
        <x:v>sword</x:v>
      </x:c>
      <x:c r="K285" s="20" t="n">
        <x:v>1.2</x:v>
      </x:c>
      <x:c r="L285" s="11" t="str">
        <x:v>Ordinary lever-spanned weapon.</x:v>
      </x:c>
    </x:row>
    <x:row r="286" ht="38" customHeight="1">
      <x:c r="C286" s="2" t="str">
        <x:v>arrows</x:v>
      </x:c>
      <x:c r="D286" s="11" t="str">
        <x:v>Weapons, armour and siege stores</x:v>
      </x:c>
      <x:c r="E286" s="11" t="str">
        <x:v>War arrows</x:v>
      </x:c>
      <x:c r="F286" s="11" t="str">
        <x:v>bundle of 24</x:v>
      </x:c>
      <x:c r="G286" s="51" t="n">
        <x:f>'Basis'!$F$101*K286</x:f>
        <x:v>0.09466811640388555</x:v>
      </x:c>
      <x:c r="H286" s="52" t="n">
        <x:f>G286*'Basis'!$D$7</x:f>
        <x:v>19.880304444815966</x:v>
      </x:c>
      <x:c r="I286" s="52" t="n">
        <x:f>H286*'Basis'!$D$8</x:f>
        <x:v>1113.297048909694</x:v>
      </x:c>
      <x:c r="J286" s="2" t="str">
        <x:v>sword</x:v>
      </x:c>
      <x:c r="K286" s="20" t="n">
        <x:v>0.1</x:v>
      </x:c>
      <x:c r="L286" s="11" t="str">
        <x:v>Iron heads, shafts and fletching.</x:v>
      </x:c>
    </x:row>
    <x:row r="287" ht="38" customHeight="1">
      <x:c r="C287" s="2" t="str">
        <x:v>bolts</x:v>
      </x:c>
      <x:c r="D287" s="11" t="str">
        <x:v>Weapons, armour and siege stores</x:v>
      </x:c>
      <x:c r="E287" s="11" t="str">
        <x:v>Crossbow bolts</x:v>
      </x:c>
      <x:c r="F287" s="11" t="str">
        <x:v>bundle of 24</x:v>
      </x:c>
      <x:c r="G287" s="51" t="n">
        <x:f>'Basis'!$F$101*K287</x:f>
        <x:v>0.13253536296543977</x:v>
      </x:c>
      <x:c r="H287" s="52" t="n">
        <x:f>G287*'Basis'!$D$7</x:f>
        <x:v>27.832426222742352</x:v>
      </x:c>
      <x:c r="I287" s="52" t="n">
        <x:f>H287*'Basis'!$D$8</x:f>
        <x:v>1558.6158684735717</x:v>
      </x:c>
      <x:c r="J287" s="2" t="str">
        <x:v>sword</x:v>
      </x:c>
      <x:c r="K287" s="20" t="n">
        <x:v>0.14</x:v>
      </x:c>
      <x:c r="L287" s="11" t="str">
        <x:v>Finished ammunition.</x:v>
      </x:c>
    </x:row>
    <x:row r="288" ht="38" customHeight="1">
      <x:c r="C288" s="2" t="str">
        <x:v>shield</x:v>
      </x:c>
      <x:c r="D288" s="11" t="str">
        <x:v>Weapons, armour and siege stores</x:v>
      </x:c>
      <x:c r="E288" s="11" t="str">
        <x:v>Wooden shield</x:v>
      </x:c>
      <x:c r="F288" s="11" t="str">
        <x:v>each</x:v>
      </x:c>
      <x:c r="G288" s="51" t="n">
        <x:f>'Basis'!$F$101*K288</x:f>
        <x:v>0.17040260952699396</x:v>
      </x:c>
      <x:c r="H288" s="52" t="n">
        <x:f>G288*'Basis'!$D$7</x:f>
        <x:v>35.78454800066873</x:v>
      </x:c>
      <x:c r="I288" s="52" t="n">
        <x:f>H288*'Basis'!$D$8</x:f>
        <x:v>2003.9346880374487</x:v>
      </x:c>
      <x:c r="J288" s="2" t="str">
        <x:v>sword</x:v>
      </x:c>
      <x:c r="K288" s="20" t="n">
        <x:v>0.18</x:v>
      </x:c>
      <x:c r="L288" s="11" t="str">
        <x:v>Hide covering and fittings.</x:v>
      </x:c>
    </x:row>
    <x:row r="289" ht="38" customHeight="1">
      <x:c r="C289" s="2" t="str">
        <x:v>helm</x:v>
      </x:c>
      <x:c r="D289" s="11" t="str">
        <x:v>Weapons, armour and siege stores</x:v>
      </x:c>
      <x:c r="E289" s="11" t="str">
        <x:v>Iron infantry helmet</x:v>
      </x:c>
      <x:c r="F289" s="11" t="str">
        <x:v>each</x:v>
      </x:c>
      <x:c r="G289" s="51" t="n">
        <x:f>'Basis'!$F$101*K289</x:f>
        <x:v>0.42600652381748494</x:v>
      </x:c>
      <x:c r="H289" s="52" t="n">
        <x:f>G289*'Basis'!$D$7</x:f>
        <x:v>89.46137000167184</x:v>
      </x:c>
      <x:c r="I289" s="52" t="n">
        <x:f>H289*'Basis'!$D$8</x:f>
        <x:v>5009.836720093623</x:v>
      </x:c>
      <x:c r="J289" s="2" t="str">
        <x:v>sword</x:v>
      </x:c>
      <x:c r="K289" s="20" t="n">
        <x:v>0.45</x:v>
      </x:c>
      <x:c r="L289" s="11" t="str">
        <x:v>Plain cap with liner.</x:v>
      </x:c>
    </x:row>
    <x:row r="290" ht="38" customHeight="1">
      <x:c r="C290" s="2" t="str">
        <x:v>gambeson</x:v>
      </x:c>
      <x:c r="D290" s="11" t="str">
        <x:v>Weapons, armour and siege stores</x:v>
      </x:c>
      <x:c r="E290" s="11" t="str">
        <x:v>Padded gambeson</x:v>
      </x:c>
      <x:c r="F290" s="11" t="str">
        <x:v>each</x:v>
      </x:c>
      <x:c r="G290" s="51" t="n">
        <x:f>'Basis'!$F$101*K290</x:f>
        <x:v>0.5206746402213706</x:v>
      </x:c>
      <x:c r="H290" s="52" t="n">
        <x:f>G290*'Basis'!$D$7</x:f>
        <x:v>109.34167444648781</x:v>
      </x:c>
      <x:c r="I290" s="52" t="n">
        <x:f>H290*'Basis'!$D$8</x:f>
        <x:v>6123.133769003318</x:v>
      </x:c>
      <x:c r="J290" s="2" t="str">
        <x:v>sword</x:v>
      </x:c>
      <x:c r="K290" s="20" t="n">
        <x:v>0.55</x:v>
      </x:c>
      <x:c r="L290" s="11" t="str">
        <x:v>Finished padded defence.</x:v>
      </x:c>
    </x:row>
    <x:row r="291" ht="38" customHeight="1">
      <x:c r="C291" s="2" t="str">
        <x:v>mail_coif</x:v>
      </x:c>
      <x:c r="D291" s="11" t="str">
        <x:v>Weapons, armour and siege stores</x:v>
      </x:c>
      <x:c r="E291" s="11" t="str">
        <x:v>Mail coif</x:v>
      </x:c>
      <x:c r="F291" s="11" t="str">
        <x:v>each</x:v>
      </x:c>
      <x:c r="G291" s="51" t="n">
        <x:f>'Basis'!$F$101*K291</x:f>
        <x:v>0.8520130476349699</x:v>
      </x:c>
      <x:c r="H291" s="52" t="n">
        <x:f>G291*'Basis'!$D$7</x:f>
        <x:v>178.92274000334368</x:v>
      </x:c>
      <x:c r="I291" s="52" t="n">
        <x:f>H291*'Basis'!$D$8</x:f>
        <x:v>10019.673440187245</x:v>
      </x:c>
      <x:c r="J291" s="2" t="str">
        <x:v>sword</x:v>
      </x:c>
      <x:c r="K291" s="20" t="n">
        <x:v>0.9</x:v>
      </x:c>
      <x:c r="L291" s="11" t="str">
        <x:v>Head and neck mail.</x:v>
      </x:c>
    </x:row>
    <x:row r="292" ht="38" customHeight="1">
      <x:c r="C292" s="2" t="str">
        <x:v>mail_leggings</x:v>
      </x:c>
      <x:c r="D292" s="11" t="str">
        <x:v>Weapons, armour and siege stores</x:v>
      </x:c>
      <x:c r="E292" s="11" t="str">
        <x:v>Mail chausses</x:v>
      </x:c>
      <x:c r="F292" s="11" t="str">
        <x:v>pair</x:v>
      </x:c>
      <x:c r="G292" s="51" t="n">
        <x:f>'Basis'!$F$101*K292</x:f>
        <x:v>2.1773666772893674</x:v>
      </x:c>
      <x:c r="H292" s="52" t="n">
        <x:f>G292*'Basis'!$D$7</x:f>
        <x:v>457.2470022307672</x:v>
      </x:c>
      <x:c r="I292" s="52" t="n">
        <x:f>H292*'Basis'!$D$8</x:f>
        <x:v>25605.832124922963</x:v>
      </x:c>
      <x:c r="J292" s="2" t="str">
        <x:v>sword</x:v>
      </x:c>
      <x:c r="K292" s="20" t="n">
        <x:v>2.3</x:v>
      </x:c>
      <x:c r="L292" s="11" t="str">
        <x:v>Mail leg defence.</x:v>
      </x:c>
    </x:row>
    <x:row r="293" ht="38" customHeight="1">
      <x:c r="C293" s="2" t="str">
        <x:v>brigandine</x:v>
      </x:c>
      <x:c r="D293" s="11" t="str">
        <x:v>Weapons, armour and siege stores</x:v>
      </x:c>
      <x:c r="E293" s="11" t="str">
        <x:v>Brigandine or coat of plates</x:v>
      </x:c>
      <x:c r="F293" s="11" t="str">
        <x:v>each</x:v>
      </x:c>
      <x:c r="G293" s="51" t="n">
        <x:f>'Basis'!$F$101*K293</x:f>
        <x:v>3.313384074135994</x:v>
      </x:c>
      <x:c r="H293" s="52" t="n">
        <x:f>G293*'Basis'!$D$7</x:f>
        <x:v>695.8106555685587</x:v>
      </x:c>
      <x:c r="I293" s="52" t="n">
        <x:f>H293*'Basis'!$D$8</x:f>
        <x:v>38965.39671183928</x:v>
      </x:c>
      <x:c r="J293" s="2" t="str">
        <x:v>sword</x:v>
      </x:c>
      <x:c r="K293" s="20" t="n">
        <x:v>3.5</x:v>
      </x:c>
      <x:c r="L293" s="11" t="str">
        <x:v>Fitted ordinary quality.</x:v>
      </x:c>
    </x:row>
    <x:row r="294" ht="38" customHeight="1">
      <x:c r="C294" s="2" t="str">
        <x:v>full_plate</x:v>
      </x:c>
      <x:c r="D294" s="11" t="str">
        <x:v>Weapons, armour and siege stores</x:v>
      </x:c>
      <x:c r="E294" s="11" t="str">
        <x:v>Full plate harness</x:v>
      </x:c>
      <x:c r="F294" s="11" t="str">
        <x:v>suit</x:v>
      </x:c>
      <x:c r="G294" s="51" t="n">
        <x:f>'Basis'!$F$101*K294</x:f>
        <x:v>11.360173968466265</x:v>
      </x:c>
      <x:c r="H294" s="52" t="n">
        <x:f>G294*'Basis'!$D$7</x:f>
        <x:v>2385.636533377916</x:v>
      </x:c>
      <x:c r="I294" s="52" t="n">
        <x:f>H294*'Basis'!$D$8</x:f>
        <x:v>133595.64586916327</x:v>
      </x:c>
      <x:c r="J294" s="2" t="str">
        <x:v>sword</x:v>
      </x:c>
      <x:c r="K294" s="20" t="n">
        <x:v>12</x:v>
      </x:c>
      <x:c r="L294" s="11" t="str">
        <x:v>Good complete fitted harness; mail shirt extra if desired.</x:v>
      </x:c>
    </x:row>
    <x:row r="295" ht="38" customHeight="1">
      <x:c r="C295" s="2" t="str">
        <x:v>plate_barding</x:v>
      </x:c>
      <x:c r="D295" s="11" t="str">
        <x:v>Weapons, armour and siege stores</x:v>
      </x:c>
      <x:c r="E295" s="11" t="str">
        <x:v>Plate horse armour</x:v>
      </x:c>
      <x:c r="F295" s="11" t="str">
        <x:v>set</x:v>
      </x:c>
      <x:c r="G295" s="51" t="n">
        <x:f>'Basis'!$F$101*K295</x:f>
        <x:v>17.0402609526994</x:v>
      </x:c>
      <x:c r="H295" s="52" t="n">
        <x:f>G295*'Basis'!$D$7</x:f>
        <x:v>3578.4548000668738</x:v>
      </x:c>
      <x:c r="I295" s="52" t="n">
        <x:f>H295*'Basis'!$D$8</x:f>
        <x:v>200393.46880374494</x:v>
      </x:c>
      <x:c r="J295" s="2" t="str">
        <x:v>sword</x:v>
      </x:c>
      <x:c r="K295" s="20" t="n">
        <x:v>18</x:v>
      </x:c>
      <x:c r="L295" s="11" t="str">
        <x:v>Fitted set; horse and saddle extra.</x:v>
      </x:c>
    </x:row>
    <x:row r="296" ht="38" customHeight="1">
      <x:c r="C296" s="2" t="str">
        <x:v>scabbard</x:v>
      </x:c>
      <x:c r="D296" s="11" t="str">
        <x:v>Weapons, armour and siege stores</x:v>
      </x:c>
      <x:c r="E296" s="11" t="str">
        <x:v>Sword scabbard</x:v>
      </x:c>
      <x:c r="F296" s="11" t="str">
        <x:v>each</x:v>
      </x:c>
      <x:c r="G296" s="51" t="n">
        <x:f>'Basis'!$F$101*K296</x:f>
        <x:v>0.11360173968466264</x:v>
      </x:c>
      <x:c r="H296" s="52" t="n">
        <x:f>G296*'Basis'!$D$7</x:f>
        <x:v>23.856365333779156</x:v>
      </x:c>
      <x:c r="I296" s="52" t="n">
        <x:f>H296*'Basis'!$D$8</x:f>
        <x:v>1335.9564586916326</x:v>
      </x:c>
      <x:c r="J296" s="2" t="str">
        <x:v>sword</x:v>
      </x:c>
      <x:c r="K296" s="20" t="n">
        <x:v>0.12</x:v>
      </x:c>
      <x:c r="L296" s="11" t="str">
        <x:v>Wood and leather.</x:v>
      </x:c>
    </x:row>
    <x:row r="297" ht="38" customHeight="1">
      <x:c r="C297" s="2" t="str">
        <x:v>pavise</x:v>
      </x:c>
      <x:c r="D297" s="11" t="str">
        <x:v>Weapons, armour and siege stores</x:v>
      </x:c>
      <x:c r="E297" s="11" t="str">
        <x:v>Large pavise shield</x:v>
      </x:c>
      <x:c r="F297" s="11" t="str">
        <x:v>each</x:v>
      </x:c>
      <x:c r="G297" s="51" t="n">
        <x:f>'Basis'!$F$101*K297</x:f>
        <x:v>0.3786724656155422</x:v>
      </x:c>
      <x:c r="H297" s="52" t="n">
        <x:f>G297*'Basis'!$D$7</x:f>
        <x:v>79.52121777926386</x:v>
      </x:c>
      <x:c r="I297" s="52" t="n">
        <x:f>H297*'Basis'!$D$8</x:f>
        <x:v>4453.188195638776</x:v>
      </x:c>
      <x:c r="J297" s="2" t="str">
        <x:v>sword</x:v>
      </x:c>
      <x:c r="K297" s="20" t="n">
        <x:v>0.4</x:v>
      </x:c>
      <x:c r="L297" s="11" t="str">
        <x:v>Painted wood and hide.</x:v>
      </x:c>
    </x:row>
    <x:row r="298" ht="38" customHeight="1">
      <x:c r="C298" s="2" t="str">
        <x:v>scorpion</x:v>
      </x:c>
      <x:c r="D298" s="11" t="str">
        <x:v>Weapons, armour and siege stores</x:v>
      </x:c>
      <x:c r="E298" s="11" t="str">
        <x:v>Siege scorpion</x:v>
      </x:c>
      <x:c r="F298" s="11" t="str">
        <x:v>engine</x:v>
      </x:c>
      <x:c r="G298" s="51" t="n">
        <x:f>'Basis'!$F$101*K298</x:f>
        <x:v>28.40043492116566</x:v>
      </x:c>
      <x:c r="H298" s="52" t="n">
        <x:f>G298*'Basis'!$D$7</x:f>
        <x:v>5964.091333444789</x:v>
      </x:c>
      <x:c r="I298" s="52" t="n">
        <x:f>H298*'Basis'!$D$8</x:f>
        <x:v>333989.11467290815</x:v>
      </x:c>
      <x:c r="J298" s="2" t="str">
        <x:v>sword</x:v>
      </x:c>
      <x:c r="K298" s="20" t="n">
        <x:v>30</x:v>
      </x:c>
      <x:c r="L298" s="11" t="str">
        <x:v>Engine and frame, crew and ammunition extra.</x:v>
      </x:c>
    </x:row>
    <x:row r="299" ht="38" customHeight="1">
      <x:c r="C299" s="2" t="str">
        <x:v>siege_bolt</x:v>
      </x:c>
      <x:c r="D299" s="11" t="str">
        <x:v>Weapons, armour and siege stores</x:v>
      </x:c>
      <x:c r="E299" s="11" t="str">
        <x:v>Heavy scorpion bolt</x:v>
      </x:c>
      <x:c r="F299" s="11" t="str">
        <x:v>each</x:v>
      </x:c>
      <x:c r="G299" s="51" t="n">
        <x:f>'Basis'!$F$101*K299</x:f>
        <x:v>0.1420021746058283</x:v>
      </x:c>
      <x:c r="H299" s="52" t="n">
        <x:f>G299*'Basis'!$D$7</x:f>
        <x:v>29.820456667223947</x:v>
      </x:c>
      <x:c r="I299" s="52" t="n">
        <x:f>H299*'Basis'!$D$8</x:f>
        <x:v>1669.9455733645411</x:v>
      </x:c>
      <x:c r="J299" s="2" t="str">
        <x:v>sword</x:v>
      </x:c>
      <x:c r="K299" s="20" t="n">
        <x:v>0.15</x:v>
      </x:c>
      <x:c r="L299" s="11" t="str">
        <x:v>Finished heavy bolt.</x:v>
      </x:c>
    </x:row>
    <x:row r="300" ht="38" customHeight="1">
      <x:c r="C300" s="2" t="str">
        <x:v>ram</x:v>
      </x:c>
      <x:c r="D300" s="11" t="str">
        <x:v>Weapons, armour and siege stores</x:v>
      </x:c>
      <x:c r="E300" s="11" t="str">
        <x:v>Covered battering ram</x:v>
      </x:c>
      <x:c r="F300" s="11" t="str">
        <x:v>engine</x:v>
      </x:c>
      <x:c r="G300" s="51" t="n">
        <x:f>'Basis'!$F$101*K300</x:f>
        <x:v>75.73449312310844</x:v>
      </x:c>
      <x:c r="H300" s="52" t="n">
        <x:f>G300*'Basis'!$D$7</x:f>
        <x:v>15904.243555852772</x:v>
      </x:c>
      <x:c r="I300" s="52" t="n">
        <x:f>H300*'Basis'!$D$8</x:f>
        <x:v>890637.6391277553</x:v>
      </x:c>
      <x:c r="J300" s="2" t="str">
        <x:v>sword</x:v>
      </x:c>
      <x:c r="K300" s="20" t="n">
        <x:v>80</x:v>
      </x:c>
      <x:c r="L300" s="11" t="str">
        <x:v>Timber frame, roof and iron head; local build.</x:v>
      </x:c>
    </x:row>
    <x:row r="301" ht="38" customHeight="1">
      <x:c r="C301" s="2" t="str">
        <x:v>trebuchet</x:v>
      </x:c>
      <x:c r="D301" s="11" t="str">
        <x:v>Weapons, armour and siege stores</x:v>
      </x:c>
      <x:c r="E301" s="11" t="str">
        <x:v>Large trebuchet</x:v>
      </x:c>
      <x:c r="F301" s="11" t="str">
        <x:v>engine</x:v>
      </x:c>
      <x:c r="G301" s="51" t="n">
        <x:f>'Basis'!$F$101*K301</x:f>
        <x:v>236.67029100971385</x:v>
      </x:c>
      <x:c r="H301" s="52" t="n">
        <x:f>G301*'Basis'!$D$7</x:f>
        <x:v>49700.76111203991</x:v>
      </x:c>
      <x:c r="I301" s="52" t="n">
        <x:f>H301*'Basis'!$D$8</x:f>
        <x:v>2783242.622274235</x:v>
      </x:c>
      <x:c r="J301" s="2" t="str">
        <x:v>sword</x:v>
      </x:c>
      <x:c r="K301" s="20" t="n">
        <x:v>250</x:v>
      </x:c>
      <x:c r="L301" s="11" t="str">
        <x:v>Timber engine, fittings and assembly; crew and haulage extra.</x:v>
      </x:c>
    </x:row>
    <x:row r="302" ht="38" customHeight="1">
      <x:c r="C302" s="2" t="str">
        <x:v>saddle</x:v>
      </x:c>
      <x:c r="D302" s="11" t="str">
        <x:v>Harness and land transport</x:v>
      </x:c>
      <x:c r="E302" s="11" t="str">
        <x:v>Riding saddle</x:v>
      </x:c>
      <x:c r="F302" s="11" t="str">
        <x:v>each</x:v>
      </x:c>
      <x:c r="G302" s="51" t="n">
        <x:f>'Basis'!$F$87*K302</x:f>
        <x:v>0.4544069587386506</x:v>
      </x:c>
      <x:c r="H302" s="52" t="n">
        <x:f>G302*'Basis'!$D$7</x:f>
        <x:v>95.42546133511662</x:v>
      </x:c>
      <x:c r="I302" s="52" t="n">
        <x:f>H302*'Basis'!$D$8</x:f>
        <x:v>5343.8258347665305</x:v>
      </x:c>
      <x:c r="J302" s="2" t="str">
        <x:v>ridinghorse</x:v>
      </x:c>
      <x:c r="K302" s="20" t="n">
        <x:v>0.16</x:v>
      </x:c>
      <x:c r="L302" s="11" t="str">
        <x:v>Plain leather saddle and girths.</x:v>
      </x:c>
    </x:row>
    <x:row r="303" ht="38" customHeight="1">
      <x:c r="C303" s="2" t="str">
        <x:v>war_saddle</x:v>
      </x:c>
      <x:c r="D303" s="11" t="str">
        <x:v>Harness and land transport</x:v>
      </x:c>
      <x:c r="E303" s="11" t="str">
        <x:v>War saddle</x:v>
      </x:c>
      <x:c r="F303" s="11" t="str">
        <x:v>each</x:v>
      </x:c>
      <x:c r="G303" s="51" t="n">
        <x:f>'Basis'!$F$87*K303</x:f>
        <x:v>1.1360173968466265</x:v>
      </x:c>
      <x:c r="H303" s="52" t="n">
        <x:f>G303*'Basis'!$D$7</x:f>
        <x:v>238.56365333779158</x:v>
      </x:c>
      <x:c r="I303" s="52" t="n">
        <x:f>H303*'Basis'!$D$8</x:f>
        <x:v>13359.564586916329</x:v>
      </x:c>
      <x:c r="J303" s="2" t="str">
        <x:v>ridinghorse</x:v>
      </x:c>
      <x:c r="K303" s="20" t="n">
        <x:v>0.4</x:v>
      </x:c>
      <x:c r="L303" s="11" t="str">
        <x:v>Reinforced cavalry saddle.</x:v>
      </x:c>
    </x:row>
    <x:row r="304" ht="38" customHeight="1">
      <x:c r="C304" s="2" t="str">
        <x:v>pack_saddle</x:v>
      </x:c>
      <x:c r="D304" s="11" t="str">
        <x:v>Harness and land transport</x:v>
      </x:c>
      <x:c r="E304" s="11" t="str">
        <x:v>Pack saddle</x:v>
      </x:c>
      <x:c r="F304" s="11" t="str">
        <x:v>each</x:v>
      </x:c>
      <x:c r="G304" s="51" t="n">
        <x:f>'Basis'!$F$87*K304</x:f>
        <x:v>0.2840043492116566</x:v>
      </x:c>
      <x:c r="H304" s="52" t="n">
        <x:f>G304*'Basis'!$D$7</x:f>
        <x:v>59.640913334447895</x:v>
      </x:c>
      <x:c r="I304" s="52" t="n">
        <x:f>H304*'Basis'!$D$8</x:f>
        <x:v>3339.8911467290823</x:v>
      </x:c>
      <x:c r="J304" s="2" t="str">
        <x:v>ridinghorse</x:v>
      </x:c>
      <x:c r="K304" s="20" t="n">
        <x:v>0.1</x:v>
      </x:c>
      <x:c r="L304" s="11" t="str">
        <x:v>Plain pack frame and straps.</x:v>
      </x:c>
    </x:row>
    <x:row r="305" ht="38" customHeight="1">
      <x:c r="C305" s="2" t="str">
        <x:v>bridle</x:v>
      </x:c>
      <x:c r="D305" s="11" t="str">
        <x:v>Harness and land transport</x:v>
      </x:c>
      <x:c r="E305" s="11" t="str">
        <x:v>Bridle and bit</x:v>
      </x:c>
      <x:c r="F305" s="11" t="str">
        <x:v>set</x:v>
      </x:c>
      <x:c r="G305" s="51" t="n">
        <x:f>'Basis'!$F$87*K305</x:f>
        <x:v>0.1420021746058283</x:v>
      </x:c>
      <x:c r="H305" s="52" t="n">
        <x:f>G305*'Basis'!$D$7</x:f>
        <x:v>29.820456667223947</x:v>
      </x:c>
      <x:c r="I305" s="52" t="n">
        <x:f>H305*'Basis'!$D$8</x:f>
        <x:v>1669.9455733645411</x:v>
      </x:c>
      <x:c r="J305" s="2" t="str">
        <x:v>ridinghorse</x:v>
      </x:c>
      <x:c r="K305" s="20" t="n">
        <x:v>0.05</x:v>
      </x:c>
      <x:c r="L305" s="11" t="str">
        <x:v>Ordinary leather and iron.</x:v>
      </x:c>
    </x:row>
    <x:row r="306" ht="38" customHeight="1">
      <x:c r="C306" s="2" t="str">
        <x:v>saddlebags</x:v>
      </x:c>
      <x:c r="D306" s="11" t="str">
        <x:v>Harness and land transport</x:v>
      </x:c>
      <x:c r="E306" s="11" t="str">
        <x:v>Saddlebags</x:v>
      </x:c>
      <x:c r="F306" s="11" t="str">
        <x:v>pair</x:v>
      </x:c>
      <x:c r="G306" s="51" t="n">
        <x:f>'Basis'!$F$87*K306</x:f>
        <x:v>0.2272034793693253</x:v>
      </x:c>
      <x:c r="H306" s="52" t="n">
        <x:f>G306*'Basis'!$D$7</x:f>
        <x:v>47.71273066755831</x:v>
      </x:c>
      <x:c r="I306" s="52" t="n">
        <x:f>H306*'Basis'!$D$8</x:f>
        <x:v>2671.9129173832653</x:v>
      </x:c>
      <x:c r="J306" s="2" t="str">
        <x:v>ridinghorse</x:v>
      </x:c>
      <x:c r="K306" s="20" t="n">
        <x:v>0.08</x:v>
      </x:c>
      <x:c r="L306" s="11" t="str">
        <x:v>Ordinary leather pair.</x:v>
      </x:c>
    </x:row>
    <x:row r="307" ht="38" customHeight="1">
      <x:c r="C307" s="2" t="str">
        <x:v>horse_rug</x:v>
      </x:c>
      <x:c r="D307" s="11" t="str">
        <x:v>Harness and land transport</x:v>
      </x:c>
      <x:c r="E307" s="11" t="str">
        <x:v>Horse blanket</x:v>
      </x:c>
      <x:c r="F307" s="11" t="str">
        <x:v>each</x:v>
      </x:c>
      <x:c r="G307" s="51" t="n">
        <x:f>'Basis'!$F$87*K307</x:f>
        <x:v>0.17040260952699396</x:v>
      </x:c>
      <x:c r="H307" s="52" t="n">
        <x:f>G307*'Basis'!$D$7</x:f>
        <x:v>35.78454800066873</x:v>
      </x:c>
      <x:c r="I307" s="52" t="n">
        <x:f>H307*'Basis'!$D$8</x:f>
        <x:v>2003.9346880374487</x:v>
      </x:c>
      <x:c r="J307" s="2" t="str">
        <x:v>ridinghorse</x:v>
      </x:c>
      <x:c r="K307" s="20" t="n">
        <x:v>0.06</x:v>
      </x:c>
      <x:c r="L307" s="11" t="str">
        <x:v>Heavy plain blanket.</x:v>
      </x:c>
    </x:row>
    <x:row r="308" ht="38" customHeight="1">
      <x:c r="C308" s="2" t="str">
        <x:v>draft_harness</x:v>
      </x:c>
      <x:c r="D308" s="11" t="str">
        <x:v>Harness and land transport</x:v>
      </x:c>
      <x:c r="E308" s="11" t="str">
        <x:v>Draft horse harness</x:v>
      </x:c>
      <x:c r="F308" s="11" t="str">
        <x:v>single-horse set</x:v>
      </x:c>
      <x:c r="G308" s="51" t="n">
        <x:f>'Basis'!$F$87*K308</x:f>
        <x:v>0.42600652381748494</x:v>
      </x:c>
      <x:c r="H308" s="52" t="n">
        <x:f>G308*'Basis'!$D$7</x:f>
        <x:v>89.46137000167184</x:v>
      </x:c>
      <x:c r="I308" s="52" t="n">
        <x:f>H308*'Basis'!$D$8</x:f>
        <x:v>5009.836720093623</x:v>
      </x:c>
      <x:c r="J308" s="2" t="str">
        <x:v>ridinghorse</x:v>
      </x:c>
      <x:c r="K308" s="20" t="n">
        <x:v>0.15</x:v>
      </x:c>
      <x:c r="L308" s="11" t="str">
        <x:v>Traces, collar and fittings.</x:v>
      </x:c>
    </x:row>
    <x:row r="309" ht="38" customHeight="1">
      <x:c r="C309" s="2" t="str">
        <x:v>ox_yoke</x:v>
      </x:c>
      <x:c r="D309" s="11" t="str">
        <x:v>Harness and land transport</x:v>
      </x:c>
      <x:c r="E309" s="11" t="str">
        <x:v>Ox yoke</x:v>
      </x:c>
      <x:c r="F309" s="11" t="str">
        <x:v>pair yoke</x:v>
      </x:c>
      <x:c r="G309" s="51" t="n">
        <x:f>'Basis'!$F$87*K309</x:f>
        <x:v>0.17040260952699396</x:v>
      </x:c>
      <x:c r="H309" s="52" t="n">
        <x:f>G309*'Basis'!$D$7</x:f>
        <x:v>35.78454800066873</x:v>
      </x:c>
      <x:c r="I309" s="52" t="n">
        <x:f>H309*'Basis'!$D$8</x:f>
        <x:v>2003.9346880374487</x:v>
      </x:c>
      <x:c r="J309" s="2" t="str">
        <x:v>ridinghorse</x:v>
      </x:c>
      <x:c r="K309" s="20" t="n">
        <x:v>0.06</x:v>
      </x:c>
      <x:c r="L309" s="11" t="str">
        <x:v>Fitted wooden yoke.</x:v>
      </x:c>
    </x:row>
    <x:row r="310" ht="38" customHeight="1">
      <x:c r="C310" s="2" t="str">
        <x:v>cart_new</x:v>
      </x:c>
      <x:c r="D310" s="11" t="str">
        <x:v>Harness and land transport</x:v>
      </x:c>
      <x:c r="E310" s="11" t="str">
        <x:v>Two-wheel farm cart</x:v>
      </x:c>
      <x:c r="F310" s="11" t="str">
        <x:v>each</x:v>
      </x:c>
      <x:c r="G310" s="51" t="n">
        <x:f>'Basis'!$F$87*K310</x:f>
        <x:v>2.272034793693253</x:v>
      </x:c>
      <x:c r="H310" s="52" t="n">
        <x:f>G310*'Basis'!$D$7</x:f>
        <x:v>477.12730667558316</x:v>
      </x:c>
      <x:c r="I310" s="52" t="n">
        <x:f>H310*'Basis'!$D$8</x:f>
        <x:v>26719.129173832658</x:v>
      </x:c>
      <x:c r="J310" s="2" t="str">
        <x:v>ridinghorse</x:v>
      </x:c>
      <x:c r="K310" s="20" t="n">
        <x:v>0.8</x:v>
      </x:c>
      <x:c r="L310" s="11" t="str">
        <x:v>Sound cart, iron tires; team extra.</x:v>
      </x:c>
    </x:row>
    <x:row r="311" ht="38" customHeight="1">
      <x:c r="C311" s="2" t="str">
        <x:v>wagon</x:v>
      </x:c>
      <x:c r="D311" s="11" t="str">
        <x:v>Harness and land transport</x:v>
      </x:c>
      <x:c r="E311" s="11" t="str">
        <x:v>Four-wheel freight wagon</x:v>
      </x:c>
      <x:c r="F311" s="11" t="str">
        <x:v>each</x:v>
      </x:c>
      <x:c r="G311" s="51" t="n">
        <x:f>'Basis'!$F$87*K311</x:f>
        <x:v>5.11207828580982</x:v>
      </x:c>
      <x:c r="H311" s="52" t="n">
        <x:f>G311*'Basis'!$D$7</x:f>
        <x:v>1073.5364400200622</x:v>
      </x:c>
      <x:c r="I311" s="52" t="n">
        <x:f>H311*'Basis'!$D$8</x:f>
        <x:v>60118.04064112348</x:v>
      </x:c>
      <x:c r="J311" s="2" t="str">
        <x:v>ridinghorse</x:v>
      </x:c>
      <x:c r="K311" s="20" t="n">
        <x:v>1.8</x:v>
      </x:c>
      <x:c r="L311" s="11" t="str">
        <x:v>Sound wagon, iron tires; team extra.</x:v>
      </x:c>
    </x:row>
    <x:row r="312" ht="38" customHeight="1">
      <x:c r="C312" s="2" t="str">
        <x:v>covered_wagon</x:v>
      </x:c>
      <x:c r="D312" s="11" t="str">
        <x:v>Harness and land transport</x:v>
      </x:c>
      <x:c r="E312" s="11" t="str">
        <x:v>Covered freight wagon</x:v>
      </x:c>
      <x:c r="F312" s="11" t="str">
        <x:v>each</x:v>
      </x:c>
      <x:c r="G312" s="51" t="n">
        <x:f>'Basis'!$F$87*K312</x:f>
        <x:v>6.248095682656446</x:v>
      </x:c>
      <x:c r="H312" s="52" t="n">
        <x:f>G312*'Basis'!$D$7</x:f>
        <x:v>1312.1000933578537</x:v>
      </x:c>
      <x:c r="I312" s="52" t="n">
        <x:f>H312*'Basis'!$D$8</x:f>
        <x:v>73477.6052280398</x:v>
      </x:c>
      <x:c r="J312" s="2" t="str">
        <x:v>ridinghorse</x:v>
      </x:c>
      <x:c r="K312" s="20" t="n">
        <x:v>2.2</x:v>
      </x:c>
      <x:c r="L312" s="11" t="str">
        <x:v>Canvas cover; team extra.</x:v>
      </x:c>
    </x:row>
    <x:row r="313" ht="38" customHeight="1">
      <x:c r="C313" s="2" t="str">
        <x:v>sledge</x:v>
      </x:c>
      <x:c r="D313" s="11" t="str">
        <x:v>Harness and land transport</x:v>
      </x:c>
      <x:c r="E313" s="11" t="str">
        <x:v>Freight sledge</x:v>
      </x:c>
      <x:c r="F313" s="11" t="str">
        <x:v>each</x:v>
      </x:c>
      <x:c r="G313" s="51" t="n">
        <x:f>'Basis'!$F$87*K313</x:f>
        <x:v>1.4200217460582831</x:v>
      </x:c>
      <x:c r="H313" s="52" t="n">
        <x:f>G313*'Basis'!$D$7</x:f>
        <x:v>298.2045666722395</x:v>
      </x:c>
      <x:c r="I313" s="52" t="n">
        <x:f>H313*'Basis'!$D$8</x:f>
        <x:v>16699.45573364541</x:v>
      </x:c>
      <x:c r="J313" s="2" t="str">
        <x:v>ridinghorse</x:v>
      </x:c>
      <x:c r="K313" s="20" t="n">
        <x:v>0.5</x:v>
      </x:c>
      <x:c r="L313" s="11" t="str">
        <x:v>Timber runners; team extra.</x:v>
      </x:c>
    </x:row>
    <x:row r="314" ht="38" customHeight="1">
      <x:c r="C314" s="2" t="str">
        <x:v>wheel</x:v>
      </x:c>
      <x:c r="D314" s="11" t="str">
        <x:v>Harness and land transport</x:v>
      </x:c>
      <x:c r="E314" s="11" t="str">
        <x:v>Replacement cart wheel</x:v>
      </x:c>
      <x:c r="F314" s="11" t="str">
        <x:v>each</x:v>
      </x:c>
      <x:c r="G314" s="51" t="n">
        <x:f>'Basis'!$F$87*K314</x:f>
        <x:v>0.42600652381748494</x:v>
      </x:c>
      <x:c r="H314" s="52" t="n">
        <x:f>G314*'Basis'!$D$7</x:f>
        <x:v>89.46137000167184</x:v>
      </x:c>
      <x:c r="I314" s="52" t="n">
        <x:f>H314*'Basis'!$D$8</x:f>
        <x:v>5009.836720093623</x:v>
      </x:c>
      <x:c r="J314" s="2" t="str">
        <x:v>ridinghorse</x:v>
      </x:c>
      <x:c r="K314" s="20" t="n">
        <x:v>0.15</x:v>
      </x:c>
      <x:c r="L314" s="11" t="str">
        <x:v>Iron-tired finished wheel.</x:v>
      </x:c>
    </x:row>
    <x:row r="315" ht="38" customHeight="1">
      <x:c r="C315" s="2" t="str">
        <x:v>axle</x:v>
      </x:c>
      <x:c r="D315" s="11" t="str">
        <x:v>Harness and land transport</x:v>
      </x:c>
      <x:c r="E315" s="11" t="str">
        <x:v>Replacement wagon axle</x:v>
      </x:c>
      <x:c r="F315" s="11" t="str">
        <x:v>each</x:v>
      </x:c>
      <x:c r="G315" s="51" t="n">
        <x:f>'Basis'!$F$87*K315</x:f>
        <x:v>0.2840043492116566</x:v>
      </x:c>
      <x:c r="H315" s="52" t="n">
        <x:f>G315*'Basis'!$D$7</x:f>
        <x:v>59.640913334447895</x:v>
      </x:c>
      <x:c r="I315" s="52" t="n">
        <x:f>H315*'Basis'!$D$8</x:f>
        <x:v>3339.8911467290823</x:v>
      </x:c>
      <x:c r="J315" s="2" t="str">
        <x:v>ridinghorse</x:v>
      </x:c>
      <x:c r="K315" s="20" t="n">
        <x:v>0.1</x:v>
      </x:c>
      <x:c r="L315" s="11" t="str">
        <x:v>Ordinary fitted axle.</x:v>
      </x:c>
    </x:row>
    <x:row r="316" ht="38" customHeight="1">
      <x:c r="C316" s="2" t="str">
        <x:v>tent</x:v>
      </x:c>
      <x:c r="D316" s="11" t="str">
        <x:v>Harness and land transport</x:v>
      </x:c>
      <x:c r="E316" s="11" t="str">
        <x:v>Canvas field tent</x:v>
      </x:c>
      <x:c r="F316" s="11" t="str">
        <x:v>6-person tent</x:v>
      </x:c>
      <x:c r="G316" s="51" t="n">
        <x:f>'Basis'!$F$87*K316</x:f>
        <x:v>1.1360173968466265</x:v>
      </x:c>
      <x:c r="H316" s="52" t="n">
        <x:f>G316*'Basis'!$D$7</x:f>
        <x:v>238.56365333779158</x:v>
      </x:c>
      <x:c r="I316" s="52" t="n">
        <x:f>H316*'Basis'!$D$8</x:f>
        <x:v>13359.564586916329</x:v>
      </x:c>
      <x:c r="J316" s="2" t="str">
        <x:v>ridinghorse</x:v>
      </x:c>
      <x:c r="K316" s="20" t="n">
        <x:v>0.4</x:v>
      </x:c>
      <x:c r="L316" s="11" t="str">
        <x:v>Poles, ropes and pegs included.</x:v>
      </x:c>
    </x:row>
    <x:row r="317" ht="38" customHeight="1">
      <x:c r="C317" s="2" t="str">
        <x:v>pavilion</x:v>
      </x:c>
      <x:c r="D317" s="11" t="str">
        <x:v>Harness and land transport</x:v>
      </x:c>
      <x:c r="E317" s="11" t="str">
        <x:v>Officer pavilion</x:v>
      </x:c>
      <x:c r="F317" s="11" t="str">
        <x:v>12-person pavilion</x:v>
      </x:c>
      <x:c r="G317" s="51" t="n">
        <x:f>'Basis'!$F$87*K317</x:f>
        <x:v>5.6800869842331325</x:v>
      </x:c>
      <x:c r="H317" s="52" t="n">
        <x:f>G317*'Basis'!$D$7</x:f>
        <x:v>1192.818266688958</x:v>
      </x:c>
      <x:c r="I317" s="52" t="n">
        <x:f>H317*'Basis'!$D$8</x:f>
        <x:v>66797.82293458164</x:v>
      </x:c>
      <x:c r="J317" s="2" t="str">
        <x:v>ridinghorse</x:v>
      </x:c>
      <x:c r="K317" s="20" t="n">
        <x:v>2</x:v>
      </x:c>
      <x:c r="L317" s="11" t="str">
        <x:v>Poles, ropes and pegs included.</x:v>
      </x:c>
    </x:row>
    <x:row r="318" ht="38" customHeight="1">
      <x:c r="C318" s="2" t="str">
        <x:v>rope</x:v>
      </x:c>
      <x:c r="D318" s="11" t="str">
        <x:v>Ship chandlery</x:v>
      </x:c>
      <x:c r="E318" s="11" t="str">
        <x:v>Hemp rope, 1-inch diameter</x:v>
      </x:c>
      <x:c r="F318" s="11" t="str">
        <x:v>100 ft</x:v>
      </x:c>
      <x:c r="G318" s="51" t="n">
        <x:f>'Basis'!$F$96*K318</x:f>
        <x:v>0.10819213303301203</x:v>
      </x:c>
      <x:c r="H318" s="52" t="n">
        <x:f>G318*'Basis'!$D$7</x:f>
        <x:v>22.720347936932527</x:v>
      </x:c>
      <x:c r="I318" s="52" t="n">
        <x:f>H318*'Basis'!$D$8</x:f>
        <x:v>1272.3394844682216</x:v>
      </x:c>
      <x:c r="J318" s="2" t="str">
        <x:v>wool</x:v>
      </x:c>
      <x:c r="K318" s="20" t="n">
        <x:v>2</x:v>
      </x:c>
      <x:c r="L318" s="11" t="str">
        <x:v>Ordinary new rope.</x:v>
      </x:c>
    </x:row>
    <x:row r="319" ht="38" customHeight="1">
      <x:c r="C319" s="2" t="str">
        <x:v>hawser</x:v>
      </x:c>
      <x:c r="D319" s="11" t="str">
        <x:v>Ship chandlery</x:v>
      </x:c>
      <x:c r="E319" s="11" t="str">
        <x:v>Heavy mooring rope</x:v>
      </x:c>
      <x:c r="F319" s="11" t="str">
        <x:v>100 ft</x:v>
      </x:c>
      <x:c r="G319" s="51" t="n">
        <x:f>'Basis'!$F$96*K319</x:f>
        <x:v>0.43276853213204813</x:v>
      </x:c>
      <x:c r="H319" s="52" t="n">
        <x:f>G319*'Basis'!$D$7</x:f>
        <x:v>90.8813917477301</x:v>
      </x:c>
      <x:c r="I319" s="52" t="n">
        <x:f>H319*'Basis'!$D$8</x:f>
        <x:v>5089.357937872886</x:v>
      </x:c>
      <x:c r="J319" s="2" t="str">
        <x:v>wool</x:v>
      </x:c>
      <x:c r="K319" s="20" t="n">
        <x:v>8</x:v>
      </x:c>
      <x:c r="L319" s="11" t="str">
        <x:v>About 2-inch diameter.</x:v>
      </x:c>
    </x:row>
    <x:row r="320" ht="38" customHeight="1">
      <x:c r="C320" s="2" t="str">
        <x:v>twine</x:v>
      </x:c>
      <x:c r="D320" s="11" t="str">
        <x:v>Ship chandlery</x:v>
      </x:c>
      <x:c r="E320" s="11" t="str">
        <x:v>Hemp twine</x:v>
      </x:c>
      <x:c r="F320" s="11" t="str">
        <x:v>lb</x:v>
      </x:c>
      <x:c r="G320" s="51" t="n">
        <x:f>'Basis'!$F$96*K320</x:f>
        <x:v>0.009737291972971083</x:v>
      </x:c>
      <x:c r="H320" s="52" t="n">
        <x:f>G320*'Basis'!$D$7</x:f>
        <x:v>2.044831314323927</x:v>
      </x:c>
      <x:c r="I320" s="52" t="n">
        <x:f>H320*'Basis'!$D$8</x:f>
        <x:v>114.51055360213992</x:v>
      </x:c>
      <x:c r="J320" s="2" t="str">
        <x:v>wool</x:v>
      </x:c>
      <x:c r="K320" s="20" t="n">
        <x:v>0.18</x:v>
      </x:c>
      <x:c r="L320" s="11" t="str">
        <x:v>General tying or repair.</x:v>
      </x:c>
    </x:row>
    <x:row r="321" ht="38" customHeight="1">
      <x:c r="C321" s="2" t="str">
        <x:v>oakum</x:v>
      </x:c>
      <x:c r="D321" s="11" t="str">
        <x:v>Ship chandlery</x:v>
      </x:c>
      <x:c r="E321" s="11" t="str">
        <x:v>Oakum</x:v>
      </x:c>
      <x:c r="F321" s="11" t="str">
        <x:v>stone (14 lb)</x:v>
      </x:c>
      <x:c r="G321" s="51" t="n">
        <x:f>'Basis'!$F$96*K321</x:f>
        <x:v>0.03245763990990361</x:v>
      </x:c>
      <x:c r="H321" s="52" t="n">
        <x:f>G321*'Basis'!$D$7</x:f>
        <x:v>6.816104381079757</x:v>
      </x:c>
      <x:c r="I321" s="52" t="n">
        <x:f>H321*'Basis'!$D$8</x:f>
        <x:v>381.70184534046643</x:v>
      </x:c>
      <x:c r="J321" s="2" t="str">
        <x:v>wool</x:v>
      </x:c>
      <x:c r="K321" s="20" t="n">
        <x:v>0.6</x:v>
      </x:c>
      <x:c r="L321" s="11" t="str">
        <x:v>Caulking fibre.</x:v>
      </x:c>
    </x:row>
    <x:row r="322" ht="38" customHeight="1">
      <x:c r="C322" s="2" t="str">
        <x:v>sail_boat</x:v>
      </x:c>
      <x:c r="D322" s="11" t="str">
        <x:v>Ship chandlery</x:v>
      </x:c>
      <x:c r="E322" s="11" t="str">
        <x:v>Small boat sail</x:v>
      </x:c>
      <x:c r="F322" s="11" t="str">
        <x:v>100 sq ft</x:v>
      </x:c>
      <x:c r="G322" s="51" t="n">
        <x:f>'Basis'!$F$96*K322</x:f>
        <x:v>0.7573449312310843</x:v>
      </x:c>
      <x:c r="H322" s="52" t="n">
        <x:f>G322*'Basis'!$D$7</x:f>
        <x:v>159.0424355585277</x:v>
      </x:c>
      <x:c r="I322" s="52" t="n">
        <x:f>H322*'Basis'!$D$8</x:f>
        <x:v>8906.37639127755</x:v>
      </x:c>
      <x:c r="J322" s="2" t="str">
        <x:v>wool</x:v>
      </x:c>
      <x:c r="K322" s="20" t="n">
        <x:v>14</x:v>
      </x:c>
      <x:c r="L322" s="11" t="str">
        <x:v>Sewn sail with bolt rope.</x:v>
      </x:c>
    </x:row>
    <x:row r="323" ht="38" customHeight="1">
      <x:c r="C323" s="2" t="str">
        <x:v>sail_cog</x:v>
      </x:c>
      <x:c r="D323" s="11" t="str">
        <x:v>Ship chandlery</x:v>
      </x:c>
      <x:c r="E323" s="11" t="str">
        <x:v>Cog replacement mainsail</x:v>
      </x:c>
      <x:c r="F323" s="11" t="str">
        <x:v>2,000 sq ft</x:v>
      </x:c>
      <x:c r="G323" s="51" t="n">
        <x:f>'Basis'!$F$96*K323</x:f>
        <x:v>15.146898624621684</x:v>
      </x:c>
      <x:c r="H323" s="52" t="n">
        <x:f>G323*'Basis'!$D$7</x:f>
        <x:v>3180.8487111705535</x:v>
      </x:c>
      <x:c r="I323" s="52" t="n">
        <x:f>H323*'Basis'!$D$8</x:f>
        <x:v>178127.527825551</x:v>
      </x:c>
      <x:c r="J323" s="2" t="str">
        <x:v>wool</x:v>
      </x:c>
      <x:c r="K323" s="20" t="n">
        <x:v>280</x:v>
      </x:c>
      <x:c r="L323" s="11" t="str">
        <x:v>Sewn sail with bolt rope; rigging labour extra.</x:v>
      </x:c>
    </x:row>
    <x:row r="324" ht="38" customHeight="1">
      <x:c r="C324" s="2" t="str">
        <x:v>oar</x:v>
      </x:c>
      <x:c r="D324" s="11" t="str">
        <x:v>Ship chandlery</x:v>
      </x:c>
      <x:c r="E324" s="11" t="str">
        <x:v>Ordinary longboat oar</x:v>
      </x:c>
      <x:c r="F324" s="11" t="str">
        <x:v>each</x:v>
      </x:c>
      <x:c r="G324" s="51" t="n">
        <x:f>'Basis'!$F$99*K324</x:f>
        <x:v>0.08330794243541928</x:v>
      </x:c>
      <x:c r="H324" s="52" t="n">
        <x:f>G324*'Basis'!$D$7</x:f>
        <x:v>17.49466791143805</x:v>
      </x:c>
      <x:c r="I324" s="52" t="n">
        <x:f>H324*'Basis'!$D$8</x:f>
        <x:v>979.7014030405307</x:v>
      </x:c>
      <x:c r="J324" s="2" t="str">
        <x:v>timber</x:v>
      </x:c>
      <x:c r="K324" s="20" t="n">
        <x:v>0.22</x:v>
      </x:c>
      <x:c r="L324" s="11" t="str">
        <x:v>Finished sound oar.</x:v>
      </x:c>
    </x:row>
    <x:row r="325" ht="38" customHeight="1">
      <x:c r="C325" s="2" t="str">
        <x:v>galley_oar</x:v>
      </x:c>
      <x:c r="D325" s="11" t="str">
        <x:v>Ship chandlery</x:v>
      </x:c>
      <x:c r="E325" s="11" t="str">
        <x:v>Long galley oar</x:v>
      </x:c>
      <x:c r="F325" s="11" t="str">
        <x:v>each</x:v>
      </x:c>
      <x:c r="G325" s="51" t="n">
        <x:f>'Basis'!$F$99*K325</x:f>
        <x:v>0.1893362328077711</x:v>
      </x:c>
      <x:c r="H325" s="52" t="n">
        <x:f>G325*'Basis'!$D$7</x:f>
        <x:v>39.76060888963193</x:v>
      </x:c>
      <x:c r="I325" s="52" t="n">
        <x:f>H325*'Basis'!$D$8</x:f>
        <x:v>2226.594097819388</x:v>
      </x:c>
      <x:c r="J325" s="2" t="str">
        <x:v>timber</x:v>
      </x:c>
      <x:c r="K325" s="20" t="n">
        <x:v>0.5</x:v>
      </x:c>
      <x:c r="L325" s="11" t="str">
        <x:v>Finished sound oar.</x:v>
      </x:c>
    </x:row>
    <x:row r="326" ht="38" customHeight="1">
      <x:c r="C326" s="2" t="str">
        <x:v>anchor_small</x:v>
      </x:c>
      <x:c r="D326" s="11" t="str">
        <x:v>Ship chandlery</x:v>
      </x:c>
      <x:c r="E326" s="11" t="str">
        <x:v>Small iron anchor</x:v>
      </x:c>
      <x:c r="F326" s="11" t="str">
        <x:v>100 lb</x:v>
      </x:c>
      <x:c r="G326" s="51" t="n">
        <x:f>'Basis'!$F$100*K326</x:f>
        <x:v>1.0819213303301205</x:v>
      </x:c>
      <x:c r="H326" s="52" t="n">
        <x:f>G326*'Basis'!$D$7</x:f>
        <x:v>227.2034793693253</x:v>
      </x:c>
      <x:c r="I326" s="52" t="n">
        <x:f>H326*'Basis'!$D$8</x:f>
        <x:v>12723.394844682216</x:v>
      </x:c>
      <x:c r="J326" s="2" t="str">
        <x:v>iron</x:v>
      </x:c>
      <x:c r="K326" s="20" t="n">
        <x:v>12</x:v>
      </x:c>
      <x:c r="L326" s="11" t="str">
        <x:v>Finished anchor.</x:v>
      </x:c>
    </x:row>
    <x:row r="327" ht="38" customHeight="1">
      <x:c r="C327" s="2" t="str">
        <x:v>anchor_cog</x:v>
      </x:c>
      <x:c r="D327" s="11" t="str">
        <x:v>Ship chandlery</x:v>
      </x:c>
      <x:c r="E327" s="11" t="str">
        <x:v>Cog iron anchor</x:v>
      </x:c>
      <x:c r="F327" s="11" t="str">
        <x:v>600 lb</x:v>
      </x:c>
      <x:c r="G327" s="51" t="n">
        <x:f>'Basis'!$F$100*K327</x:f>
        <x:v>5.860407205954819</x:v>
      </x:c>
      <x:c r="H327" s="52" t="n">
        <x:f>G327*'Basis'!$D$7</x:f>
        <x:v>1230.685513250512</x:v>
      </x:c>
      <x:c r="I327" s="52" t="n">
        <x:f>H327*'Basis'!$D$8</x:f>
        <x:v>68918.38874202868</x:v>
      </x:c>
      <x:c r="J327" s="2" t="str">
        <x:v>iron</x:v>
      </x:c>
      <x:c r="K327" s="20" t="n">
        <x:v>65</x:v>
      </x:c>
      <x:c r="L327" s="11" t="str">
        <x:v>Finished anchor.</x:v>
      </x:c>
    </x:row>
    <x:row r="328" ht="38" customHeight="1">
      <x:c r="C328" s="2" t="str">
        <x:v>anchor_cable</x:v>
      </x:c>
      <x:c r="D328" s="11" t="str">
        <x:v>Ship chandlery</x:v>
      </x:c>
      <x:c r="E328" s="11" t="str">
        <x:v>Heavy anchor cable</x:v>
      </x:c>
      <x:c r="F328" s="11" t="str">
        <x:v>300 ft</x:v>
      </x:c>
      <x:c r="G328" s="51" t="n">
        <x:f>'Basis'!$F$96*K328</x:f>
        <x:v>1.8933623280777105</x:v>
      </x:c>
      <x:c r="H328" s="52" t="n">
        <x:f>G328*'Basis'!$D$7</x:f>
        <x:v>397.6060888963192</x:v>
      </x:c>
      <x:c r="I328" s="52" t="n">
        <x:f>H328*'Basis'!$D$8</x:f>
        <x:v>22265.940978193874</x:v>
      </x:c>
      <x:c r="J328" s="2" t="str">
        <x:v>wool</x:v>
      </x:c>
      <x:c r="K328" s="20" t="n">
        <x:v>35</x:v>
      </x:c>
      <x:c r="L328" s="11" t="str">
        <x:v>Prepared heavy hemp cable.</x:v>
      </x:c>
    </x:row>
    <x:row r="329" ht="38" customHeight="1">
      <x:c r="C329" s="2" t="str">
        <x:v>pulley</x:v>
      </x:c>
      <x:c r="D329" s="11" t="str">
        <x:v>Ship chandlery</x:v>
      </x:c>
      <x:c r="E329" s="11" t="str">
        <x:v>Wood and iron pulley block</x:v>
      </x:c>
      <x:c r="F329" s="11" t="str">
        <x:v>each</x:v>
      </x:c>
      <x:c r="G329" s="51" t="n">
        <x:f>'Basis'!$F$100*K329</x:f>
        <x:v>0.045080055430421685</x:v>
      </x:c>
      <x:c r="H329" s="52" t="n">
        <x:f>G329*'Basis'!$D$7</x:f>
        <x:v>9.466811640388554</x:v>
      </x:c>
      <x:c r="I329" s="52" t="n">
        <x:f>H329*'Basis'!$D$8</x:f>
        <x:v>530.141451861759</x:v>
      </x:c>
      <x:c r="J329" s="2" t="str">
        <x:v>iron</x:v>
      </x:c>
      <x:c r="K329" s="20" t="n">
        <x:v>0.5</x:v>
      </x:c>
      <x:c r="L329" s="11" t="str">
        <x:v>Small ordinary block.</x:v>
      </x:c>
    </x:row>
    <x:row r="330" ht="38" customHeight="1">
      <x:c r="C330" s="2" t="str">
        <x:v>water_cask</x:v>
      </x:c>
      <x:c r="D330" s="11" t="str">
        <x:v>Ship chandlery</x:v>
      </x:c>
      <x:c r="E330" s="11" t="str">
        <x:v>Ship water cask</x:v>
      </x:c>
      <x:c r="F330" s="11" t="str">
        <x:v>100-gallon capacity</x:v>
      </x:c>
      <x:c r="G330" s="51" t="n">
        <x:f>'Basis'!$F$101*K330</x:f>
        <x:v>0.4733405820194277</x:v>
      </x:c>
      <x:c r="H330" s="52" t="n">
        <x:f>G330*'Basis'!$D$7</x:f>
        <x:v>99.40152222407981</x:v>
      </x:c>
      <x:c r="I330" s="52" t="n">
        <x:f>H330*'Basis'!$D$8</x:f>
        <x:v>5566.485244548469</x:v>
      </x:c>
      <x:c r="J330" s="2" t="str">
        <x:v>sword</x:v>
      </x:c>
      <x:c r="K330" s="20" t="n">
        <x:v>0.5</x:v>
      </x:c>
      <x:c r="L330" s="11" t="str">
        <x:v>Empty watertight cask.</x:v>
      </x:c>
    </x:row>
    <x:row r="331" ht="38" customHeight="1">
      <x:c r="C331" s="2" t="str">
        <x:v>ship_pump</x:v>
      </x:c>
      <x:c r="D331" s="11" t="str">
        <x:v>Ship chandlery</x:v>
      </x:c>
      <x:c r="E331" s="11" t="str">
        <x:v>Ship bilge pump</x:v>
      </x:c>
      <x:c r="F331" s="11" t="str">
        <x:v>each</x:v>
      </x:c>
      <x:c r="G331" s="51" t="n">
        <x:f>'Basis'!$F$101*K331</x:f>
        <x:v>2.8400434921165663</x:v>
      </x:c>
      <x:c r="H331" s="52" t="n">
        <x:f>G331*'Basis'!$D$7</x:f>
        <x:v>596.409133344479</x:v>
      </x:c>
      <x:c r="I331" s="52" t="n">
        <x:f>H331*'Basis'!$D$8</x:f>
        <x:v>33398.91146729082</x:v>
      </x:c>
      <x:c r="J331" s="2" t="str">
        <x:v>sword</x:v>
      </x:c>
      <x:c r="K331" s="20" t="n">
        <x:v>3</x:v>
      </x:c>
      <x:c r="L331" s="11" t="str">
        <x:v>Wooden pump and ordinary fittings.</x:v>
      </x:c>
    </x:row>
    <x:row r="332" ht="38" customHeight="1">
      <x:c r="C332" s="2" t="str">
        <x:v>rudder</x:v>
      </x:c>
      <x:c r="D332" s="11" t="str">
        <x:v>Ship chandlery</x:v>
      </x:c>
      <x:c r="E332" s="11" t="str">
        <x:v>Cog replacement rudder</x:v>
      </x:c>
      <x:c r="F332" s="11" t="str">
        <x:v>each</x:v>
      </x:c>
      <x:c r="G332" s="51" t="n">
        <x:f>'Basis'!$F$99*K332</x:f>
        <x:v>6.816104381079759</x:v>
      </x:c>
      <x:c r="H332" s="52" t="n">
        <x:f>G332*'Basis'!$D$7</x:f>
        <x:v>1431.3819200267494</x:v>
      </x:c>
      <x:c r="I332" s="52" t="n">
        <x:f>H332*'Basis'!$D$8</x:f>
        <x:v>80157.38752149796</x:v>
      </x:c>
      <x:c r="J332" s="2" t="str">
        <x:v>timber</x:v>
      </x:c>
      <x:c r="K332" s="20" t="n">
        <x:v>18</x:v>
      </x:c>
      <x:c r="L332" s="11" t="str">
        <x:v>Timber and ironwork; fitting extra.</x:v>
      </x:c>
    </x:row>
    <x:row r="333" ht="38" customHeight="1">
      <x:c r="C333" s="2" t="str">
        <x:v>gangplank</x:v>
      </x:c>
      <x:c r="D333" s="11" t="str">
        <x:v>Ship chandlery</x:v>
      </x:c>
      <x:c r="E333" s="11" t="str">
        <x:v>Gangplank</x:v>
      </x:c>
      <x:c r="F333" s="11" t="str">
        <x:v>12-ft plank with cleats</x:v>
      </x:c>
      <x:c r="G333" s="51" t="n">
        <x:f>'Basis'!$F$99*K333</x:f>
        <x:v>0.1893362328077711</x:v>
      </x:c>
      <x:c r="H333" s="52" t="n">
        <x:f>G333*'Basis'!$D$7</x:f>
        <x:v>39.76060888963193</x:v>
      </x:c>
      <x:c r="I333" s="52" t="n">
        <x:f>H333*'Basis'!$D$8</x:f>
        <x:v>2226.594097819388</x:v>
      </x:c>
      <x:c r="J333" s="2" t="str">
        <x:v>timber</x:v>
      </x:c>
      <x:c r="K333" s="20" t="n">
        <x:v>0.5</x:v>
      </x:c>
      <x:c r="L333" s="11" t="str">
        <x:v>Finished simple gangplank.</x:v>
      </x:c>
    </x:row>
    <x:row r="334" ht="38" customHeight="1">
      <x:c r="C334" s="2" t="str">
        <x:v>parchment</x:v>
      </x:c>
      <x:c r="D334" s="11" t="str">
        <x:v>Writing, healing and personal goods</x:v>
      </x:c>
      <x:c r="E334" s="11" t="str">
        <x:v>Parchment</x:v>
      </x:c>
      <x:c r="F334" s="11" t="str">
        <x:v>sheet, about 12 x 18 in</x:v>
      </x:c>
      <x:c r="G334" s="51" t="n">
        <x:f>'Basis'!$F$101*K334</x:f>
        <x:v>0.011360173968466265</x:v>
      </x:c>
      <x:c r="H334" s="52" t="n">
        <x:f>G334*'Basis'!$D$7</x:f>
        <x:v>2.3856365333779155</x:v>
      </x:c>
      <x:c r="I334" s="52" t="n">
        <x:f>H334*'Basis'!$D$8</x:f>
        <x:v>133.59564586916326</x:v>
      </x:c>
      <x:c r="J334" s="2" t="str">
        <x:v>sword</x:v>
      </x:c>
      <x:c r="K334" s="20" t="n">
        <x:v>0.012</x:v>
      </x:c>
      <x:c r="L334" s="11" t="str">
        <x:v>Prepared writing surface.</x:v>
      </x:c>
    </x:row>
    <x:row r="335" ht="38" customHeight="1">
      <x:c r="C335" s="2" t="str">
        <x:v>paper</x:v>
      </x:c>
      <x:c r="D335" s="11" t="str">
        <x:v>Writing, healing and personal goods</x:v>
      </x:c>
      <x:c r="E335" s="11" t="str">
        <x:v>Imported paper</x:v>
      </x:c>
      <x:c r="F335" s="11" t="str">
        <x:v>25 sheets</x:v>
      </x:c>
      <x:c r="G335" s="51" t="n">
        <x:f>'Basis'!$F$101*K335</x:f>
        <x:v>0.07573449312310843</x:v>
      </x:c>
      <x:c r="H335" s="52" t="n">
        <x:f>G335*'Basis'!$D$7</x:f>
        <x:v>15.90424355585277</x:v>
      </x:c>
      <x:c r="I335" s="52" t="n">
        <x:f>H335*'Basis'!$D$8</x:f>
        <x:v>890.637639127755</x:v>
      </x:c>
      <x:c r="J335" s="2" t="str">
        <x:v>sword</x:v>
      </x:c>
      <x:c r="K335" s="20" t="n">
        <x:v>0.08</x:v>
      </x:c>
      <x:c r="L335" s="11" t="str">
        <x:v>Landed White Harbor price.</x:v>
      </x:c>
    </x:row>
    <x:row r="336" ht="38" customHeight="1">
      <x:c r="C336" s="2" t="str">
        <x:v>ink</x:v>
      </x:c>
      <x:c r="D336" s="11" t="str">
        <x:v>Writing, healing and personal goods</x:v>
      </x:c>
      <x:c r="E336" s="11" t="str">
        <x:v>Writing ink</x:v>
      </x:c>
      <x:c r="F336" s="11" t="str">
        <x:v>pint</x:v>
      </x:c>
      <x:c r="G336" s="51" t="n">
        <x:f>'Basis'!$F$101*K336</x:f>
        <x:v>0.023667029100971387</x:v>
      </x:c>
      <x:c r="H336" s="52" t="n">
        <x:f>G336*'Basis'!$D$7</x:f>
        <x:v>4.9700761112039915</x:v>
      </x:c>
      <x:c r="I336" s="52" t="n">
        <x:f>H336*'Basis'!$D$8</x:f>
        <x:v>278.3242622274235</x:v>
      </x:c>
      <x:c r="J336" s="2" t="str">
        <x:v>sword</x:v>
      </x:c>
      <x:c r="K336" s="20" t="n">
        <x:v>0.025</x:v>
      </x:c>
      <x:c r="L336" s="11" t="str">
        <x:v>Ordinary black ink.</x:v>
      </x:c>
    </x:row>
    <x:row r="337" ht="38" customHeight="1">
      <x:c r="C337" s="2" t="str">
        <x:v>quill</x:v>
      </x:c>
      <x:c r="D337" s="11" t="str">
        <x:v>Writing, healing and personal goods</x:v>
      </x:c>
      <x:c r="E337" s="11" t="str">
        <x:v>Prepared quills</x:v>
      </x:c>
      <x:c r="F337" s="11" t="str">
        <x:v>dozen</x:v>
      </x:c>
      <x:c r="G337" s="51" t="n">
        <x:f>'Basis'!$F$101*K337</x:f>
        <x:v>0.007573449312310843</x:v>
      </x:c>
      <x:c r="H337" s="52" t="n">
        <x:f>G337*'Basis'!$D$7</x:f>
        <x:v>1.590424355585277</x:v>
      </x:c>
      <x:c r="I337" s="52" t="n">
        <x:f>H337*'Basis'!$D$8</x:f>
        <x:v>89.06376391277551</x:v>
      </x:c>
      <x:c r="J337" s="2" t="str">
        <x:v>sword</x:v>
      </x:c>
      <x:c r="K337" s="20" t="n">
        <x:v>0.008</x:v>
      </x:c>
      <x:c r="L337" s="11" t="str">
        <x:v>Cut writing quills.</x:v>
      </x:c>
    </x:row>
    <x:row r="338" ht="38" customHeight="1">
      <x:c r="C338" s="2" t="str">
        <x:v>seal_wax</x:v>
      </x:c>
      <x:c r="D338" s="11" t="str">
        <x:v>Writing, healing and personal goods</x:v>
      </x:c>
      <x:c r="E338" s="11" t="str">
        <x:v>Sealing wax</x:v>
      </x:c>
      <x:c r="F338" s="11" t="str">
        <x:v>lb</x:v>
      </x:c>
      <x:c r="G338" s="51" t="n">
        <x:f>'Basis'!$F$101*K338</x:f>
        <x:v>0.03786724656155421</x:v>
      </x:c>
      <x:c r="H338" s="52" t="n">
        <x:f>G338*'Basis'!$D$7</x:f>
        <x:v>7.952121777926385</x:v>
      </x:c>
      <x:c r="I338" s="52" t="n">
        <x:f>H338*'Basis'!$D$8</x:f>
        <x:v>445.3188195638775</x:v>
      </x:c>
      <x:c r="J338" s="2" t="str">
        <x:v>sword</x:v>
      </x:c>
      <x:c r="K338" s="20" t="n">
        <x:v>0.04</x:v>
      </x:c>
      <x:c r="L338" s="11" t="str">
        <x:v>Coloured prepared wax.</x:v>
      </x:c>
    </x:row>
    <x:row r="339" ht="38" customHeight="1">
      <x:c r="C339" s="2" t="str">
        <x:v>seal</x:v>
      </x:c>
      <x:c r="D339" s="11" t="str">
        <x:v>Writing, healing and personal goods</x:v>
      </x:c>
      <x:c r="E339" s="11" t="str">
        <x:v>Engraved brass seal</x:v>
      </x:c>
      <x:c r="F339" s="11" t="str">
        <x:v>each</x:v>
      </x:c>
      <x:c r="G339" s="51" t="n">
        <x:f>'Basis'!$F$101*K339</x:f>
        <x:v>0.1893362328077711</x:v>
      </x:c>
      <x:c r="H339" s="52" t="n">
        <x:f>G339*'Basis'!$D$7</x:f>
        <x:v>39.76060888963193</x:v>
      </x:c>
      <x:c r="I339" s="52" t="n">
        <x:f>H339*'Basis'!$D$8</x:f>
        <x:v>2226.594097819388</x:v>
      </x:c>
      <x:c r="J339" s="2" t="str">
        <x:v>sword</x:v>
      </x:c>
      <x:c r="K339" s="20" t="n">
        <x:v>0.2</x:v>
      </x:c>
      <x:c r="L339" s="11" t="str">
        <x:v>Simple personal device.</x:v>
      </x:c>
    </x:row>
    <x:row r="340" ht="38" customHeight="1">
      <x:c r="C340" s="2" t="str">
        <x:v>ledger</x:v>
      </x:c>
      <x:c r="D340" s="11" t="str">
        <x:v>Writing, healing and personal goods</x:v>
      </x:c>
      <x:c r="E340" s="11" t="str">
        <x:v>Bound blank account book</x:v>
      </x:c>
      <x:c r="F340" s="11" t="str">
        <x:v>100 parchment leaves</x:v>
      </x:c>
      <x:c r="G340" s="51" t="n">
        <x:f>'Basis'!$F$101*K340</x:f>
        <x:v>1.5146898624621687</x:v>
      </x:c>
      <x:c r="H340" s="52" t="n">
        <x:f>G340*'Basis'!$D$7</x:f>
        <x:v>318.08487111705546</x:v>
      </x:c>
      <x:c r="I340" s="52" t="n">
        <x:f>H340*'Basis'!$D$8</x:f>
        <x:v>17812.752782555104</x:v>
      </x:c>
      <x:c r="J340" s="2" t="str">
        <x:v>sword</x:v>
      </x:c>
      <x:c r="K340" s="20" t="n">
        <x:v>1.6</x:v>
      </x:c>
      <x:c r="L340" s="11" t="str">
        <x:v>Plain durable binding.</x:v>
      </x:c>
    </x:row>
    <x:row r="341" ht="38" customHeight="1">
      <x:c r="C341" s="2" t="str">
        <x:v>book</x:v>
      </x:c>
      <x:c r="D341" s="11" t="str">
        <x:v>Writing, healing and personal goods</x:v>
      </x:c>
      <x:c r="E341" s="11" t="str">
        <x:v>Hand-copied plain book</x:v>
      </x:c>
      <x:c r="F341" s="11" t="str">
        <x:v>100 text leaves</x:v>
      </x:c>
      <x:c r="G341" s="51" t="n">
        <x:f>'Basis'!$F$101*K341</x:f>
        <x:v>7.573449312310843</x:v>
      </x:c>
      <x:c r="H341" s="52" t="n">
        <x:f>G341*'Basis'!$D$7</x:f>
        <x:v>1590.424355585277</x:v>
      </x:c>
      <x:c r="I341" s="52" t="n">
        <x:f>H341*'Basis'!$D$8</x:f>
        <x:v>89063.76391277551</x:v>
      </x:c>
      <x:c r="J341" s="2" t="str">
        <x:v>sword</x:v>
      </x:c>
      <x:c r="K341" s="20" t="n">
        <x:v>8</x:v>
      </x:c>
      <x:c r="L341" s="11" t="str">
        <x:v>Modest text, no illuminations; commission estimate.</x:v>
      </x:c>
    </x:row>
    <x:row r="342" ht="38" customHeight="1">
      <x:c r="C342" s="2" t="str">
        <x:v>illuminated_book</x:v>
      </x:c>
      <x:c r="D342" s="11" t="str">
        <x:v>Writing, healing and personal goods</x:v>
      </x:c>
      <x:c r="E342" s="11" t="str">
        <x:v>Illuminated manuscript</x:v>
      </x:c>
      <x:c r="F342" s="11" t="str">
        <x:v>100 leaves</x:v>
      </x:c>
      <x:c r="G342" s="51" t="n">
        <x:f>'Basis'!$F$101*K342</x:f>
        <x:v>33.13384074135994</x:v>
      </x:c>
      <x:c r="H342" s="52" t="n">
        <x:f>G342*'Basis'!$D$7</x:f>
        <x:v>6958.106555685587</x:v>
      </x:c>
      <x:c r="I342" s="52" t="n">
        <x:f>H342*'Basis'!$D$8</x:f>
        <x:v>389653.9671183929</x:v>
      </x:c>
      <x:c r="J342" s="2" t="str">
        <x:v>sword</x:v>
      </x:c>
      <x:c r="K342" s="20" t="n">
        <x:v>35</x:v>
      </x:c>
      <x:c r="L342" s="11" t="str">
        <x:v>Good decoration; unique works separately negotiated.</x:v>
      </x:c>
    </x:row>
    <x:row r="343" ht="38" customHeight="1">
      <x:c r="C343" s="2" t="str">
        <x:v>bandage</x:v>
      </x:c>
      <x:c r="D343" s="11" t="str">
        <x:v>Writing, healing and personal goods</x:v>
      </x:c>
      <x:c r="E343" s="11" t="str">
        <x:v>Linen bandage</x:v>
      </x:c>
      <x:c r="F343" s="11" t="str">
        <x:v>10 yards x 4 in</x:v>
      </x:c>
      <x:c r="G343" s="51" t="n">
        <x:f>'Basis'!$F$101*K343</x:f>
        <x:v>0.023667029100971387</x:v>
      </x:c>
      <x:c r="H343" s="52" t="n">
        <x:f>G343*'Basis'!$D$7</x:f>
        <x:v>4.9700761112039915</x:v>
      </x:c>
      <x:c r="I343" s="52" t="n">
        <x:f>H343*'Basis'!$D$8</x:f>
        <x:v>278.3242622274235</x:v>
      </x:c>
      <x:c r="J343" s="2" t="str">
        <x:v>sword</x:v>
      </x:c>
      <x:c r="K343" s="20" t="n">
        <x:v>0.025</x:v>
      </x:c>
      <x:c r="L343" s="11" t="str">
        <x:v>Clean cloth, not modern sterile supply.</x:v>
      </x:c>
    </x:row>
    <x:row r="344" ht="38" customHeight="1">
      <x:c r="C344" s="2" t="str">
        <x:v>salve</x:v>
      </x:c>
      <x:c r="D344" s="11" t="str">
        <x:v>Writing, healing and personal goods</x:v>
      </x:c>
      <x:c r="E344" s="11" t="str">
        <x:v>Common herbal salve</x:v>
      </x:c>
      <x:c r="F344" s="11" t="str">
        <x:v>4-ounce pot</x:v>
      </x:c>
      <x:c r="G344" s="51" t="n">
        <x:f>'Basis'!$F$101*K344</x:f>
        <x:v>0.01420021746058283</x:v>
      </x:c>
      <x:c r="H344" s="52" t="n">
        <x:f>G344*'Basis'!$D$7</x:f>
        <x:v>2.9820456667223945</x:v>
      </x:c>
      <x:c r="I344" s="52" t="n">
        <x:f>H344*'Basis'!$D$8</x:f>
        <x:v>166.99455733645408</x:v>
      </x:c>
      <x:c r="J344" s="2" t="str">
        <x:v>sword</x:v>
      </x:c>
      <x:c r="K344" s="20" t="n">
        <x:v>0.015</x:v>
      </x:c>
      <x:c r="L344" s="11" t="str">
        <x:v>Ordinary setting prop and stock allowance.</x:v>
      </x:c>
    </x:row>
    <x:row r="345" ht="38" customHeight="1">
      <x:c r="C345" s="2" t="str">
        <x:v>dried_remedies</x:v>
      </x:c>
      <x:c r="D345" s="11" t="str">
        <x:v>Writing, healing and personal goods</x:v>
      </x:c>
      <x:c r="E345" s="11" t="str">
        <x:v>Dried common remedies</x:v>
      </x:c>
      <x:c r="F345" s="11" t="str">
        <x:v>lb</x:v>
      </x:c>
      <x:c r="G345" s="51" t="n">
        <x:f>'Basis'!$F$101*K345</x:f>
        <x:v>0.03786724656155421</x:v>
      </x:c>
      <x:c r="H345" s="52" t="n">
        <x:f>G345*'Basis'!$D$7</x:f>
        <x:v>7.952121777926385</x:v>
      </x:c>
      <x:c r="I345" s="52" t="n">
        <x:f>H345*'Basis'!$D$8</x:f>
        <x:v>445.3188195638775</x:v>
      </x:c>
      <x:c r="J345" s="2" t="str">
        <x:v>sword</x:v>
      </x:c>
      <x:c r="K345" s="20" t="n">
        <x:v>0.04</x:v>
      </x:c>
      <x:c r="L345" s="11" t="str">
        <x:v>Local apothecary stock; no medical efficacy claim.</x:v>
      </x:c>
    </x:row>
    <x:row r="346" ht="38" customHeight="1">
      <x:c r="C346" s="2" t="str">
        <x:v>surgical_kit</x:v>
      </x:c>
      <x:c r="D346" s="11" t="str">
        <x:v>Writing, healing and personal goods</x:v>
      </x:c>
      <x:c r="E346" s="11" t="str">
        <x:v>Chirurgeon instrument kit</x:v>
      </x:c>
      <x:c r="F346" s="11" t="str">
        <x:v>set</x:v>
      </x:c>
      <x:c r="G346" s="51" t="n">
        <x:f>'Basis'!$F$101*K346</x:f>
        <x:v>1.4200217460582831</x:v>
      </x:c>
      <x:c r="H346" s="52" t="n">
        <x:f>G346*'Basis'!$D$7</x:f>
        <x:v>298.2045666722395</x:v>
      </x:c>
      <x:c r="I346" s="52" t="n">
        <x:f>H346*'Basis'!$D$8</x:f>
        <x:v>16699.45573364541</x:v>
      </x:c>
      <x:c r="J346" s="2" t="str">
        <x:v>sword</x:v>
      </x:c>
      <x:c r="K346" s="20" t="n">
        <x:v>1.5</x:v>
      </x:c>
      <x:c r="L346" s="11" t="str">
        <x:v>Ordinary steel instruments and case.</x:v>
      </x:c>
    </x:row>
    <x:row r="347" ht="38" customHeight="1">
      <x:c r="C347" s="2" t="str">
        <x:v>spectacles</x:v>
      </x:c>
      <x:c r="D347" s="11" t="str">
        <x:v>Writing, healing and personal goods</x:v>
      </x:c>
      <x:c r="E347" s="11" t="str">
        <x:v>Myrish lenses in simple frame</x:v>
      </x:c>
      <x:c r="F347" s="11" t="str">
        <x:v>pair</x:v>
      </x:c>
      <x:c r="G347" s="51" t="n">
        <x:f>'Basis'!$F$101*K347</x:f>
        <x:v>2.8400434921165663</x:v>
      </x:c>
      <x:c r="H347" s="52" t="n">
        <x:f>G347*'Basis'!$D$7</x:f>
        <x:v>596.409133344479</x:v>
      </x:c>
      <x:c r="I347" s="52" t="n">
        <x:f>H347*'Basis'!$D$8</x:f>
        <x:v>33398.91146729082</x:v>
      </x:c>
      <x:c r="J347" s="2" t="str">
        <x:v>sword</x:v>
      </x:c>
      <x:c r="K347" s="20" t="n">
        <x:v>3</x:v>
      </x:c>
      <x:c r="L347" s="11" t="str">
        <x:v>Imported finished reading aid.</x:v>
      </x:c>
    </x:row>
    <x:row r="348" ht="38" customHeight="1">
      <x:c r="C348" s="2" t="str">
        <x:v>mirror</x:v>
      </x:c>
      <x:c r="D348" s="11" t="str">
        <x:v>Writing, healing and personal goods</x:v>
      </x:c>
      <x:c r="E348" s="11" t="str">
        <x:v>Small polished metal mirror</x:v>
      </x:c>
      <x:c r="F348" s="11" t="str">
        <x:v>each</x:v>
      </x:c>
      <x:c r="G348" s="51" t="n">
        <x:f>'Basis'!$F$101*K348</x:f>
        <x:v>0.3786724656155422</x:v>
      </x:c>
      <x:c r="H348" s="52" t="n">
        <x:f>G348*'Basis'!$D$7</x:f>
        <x:v>79.52121777926386</x:v>
      </x:c>
      <x:c r="I348" s="52" t="n">
        <x:f>H348*'Basis'!$D$8</x:f>
        <x:v>4453.188195638776</x:v>
      </x:c>
      <x:c r="J348" s="2" t="str">
        <x:v>sword</x:v>
      </x:c>
      <x:c r="K348" s="20" t="n">
        <x:v>0.4</x:v>
      </x:c>
      <x:c r="L348" s="11" t="str">
        <x:v>Hand mirror.</x:v>
      </x:c>
    </x:row>
    <x:row r="349" ht="38" customHeight="1">
      <x:c r="C349" s="2" t="str">
        <x:v>perfume</x:v>
      </x:c>
      <x:c r="D349" s="11" t="str">
        <x:v>Writing, healing and personal goods</x:v>
      </x:c>
      <x:c r="E349" s="11" t="str">
        <x:v>Imported perfume</x:v>
      </x:c>
      <x:c r="F349" s="11" t="str">
        <x:v>1-ounce vial</x:v>
      </x:c>
      <x:c r="G349" s="51" t="n">
        <x:f>'Basis'!$F$101*K349</x:f>
        <x:v>0.3313384074135994</x:v>
      </x:c>
      <x:c r="H349" s="52" t="n">
        <x:f>G349*'Basis'!$D$7</x:f>
        <x:v>69.58106555685588</x:v>
      </x:c>
      <x:c r="I349" s="52" t="n">
        <x:f>H349*'Basis'!$D$8</x:f>
        <x:v>3896.539671183929</x:v>
      </x:c>
      <x:c r="J349" s="2" t="str">
        <x:v>sword</x:v>
      </x:c>
      <x:c r="K349" s="20" t="n">
        <x:v>0.35</x:v>
      </x:c>
      <x:c r="L349" s="11" t="str">
        <x:v>Ordinary luxury quality.</x:v>
      </x:c>
    </x:row>
    <x:row r="350" ht="38" customHeight="1">
      <x:c r="C350" s="2" t="str">
        <x:v>lute</x:v>
      </x:c>
      <x:c r="D350" s="11" t="str">
        <x:v>Writing, healing and personal goods</x:v>
      </x:c>
      <x:c r="E350" s="11" t="str">
        <x:v>Lute</x:v>
      </x:c>
      <x:c r="F350" s="11" t="str">
        <x:v>each</x:v>
      </x:c>
      <x:c r="G350" s="51" t="n">
        <x:f>'Basis'!$F$101*K350</x:f>
        <x:v>1.7040260952699398</x:v>
      </x:c>
      <x:c r="H350" s="52" t="n">
        <x:f>G350*'Basis'!$D$7</x:f>
        <x:v>357.84548000668735</x:v>
      </x:c>
      <x:c r="I350" s="52" t="n">
        <x:f>H350*'Basis'!$D$8</x:f>
        <x:v>20039.34688037449</x:v>
      </x:c>
      <x:c r="J350" s="2" t="str">
        <x:v>sword</x:v>
      </x:c>
      <x:c r="K350" s="20" t="n">
        <x:v>1.8</x:v>
      </x:c>
      <x:c r="L350" s="11" t="str">
        <x:v>Ordinary playable instrument.</x:v>
      </x:c>
    </x:row>
    <x:row r="351" ht="38" customHeight="1">
      <x:c r="C351" s="2" t="str">
        <x:v>flute</x:v>
      </x:c>
      <x:c r="D351" s="11" t="str">
        <x:v>Writing, healing and personal goods</x:v>
      </x:c>
      <x:c r="E351" s="11" t="str">
        <x:v>Wooden flute</x:v>
      </x:c>
      <x:c r="F351" s="11" t="str">
        <x:v>each</x:v>
      </x:c>
      <x:c r="G351" s="51" t="n">
        <x:f>'Basis'!$F$101*K351</x:f>
        <x:v>0.11360173968466264</x:v>
      </x:c>
      <x:c r="H351" s="52" t="n">
        <x:f>G351*'Basis'!$D$7</x:f>
        <x:v>23.856365333779156</x:v>
      </x:c>
      <x:c r="I351" s="52" t="n">
        <x:f>H351*'Basis'!$D$8</x:f>
        <x:v>1335.9564586916326</x:v>
      </x:c>
      <x:c r="J351" s="2" t="str">
        <x:v>sword</x:v>
      </x:c>
      <x:c r="K351" s="20" t="n">
        <x:v>0.12</x:v>
      </x:c>
      <x:c r="L351" s="11" t="str">
        <x:v>Plain playable instrument.</x:v>
      </x:c>
    </x:row>
    <x:row r="352" ht="38" customHeight="1">
      <x:c r="C352" s="2" t="str">
        <x:v>dice</x:v>
      </x:c>
      <x:c r="D352" s="11" t="str">
        <x:v>Writing, healing and personal goods</x:v>
      </x:c>
      <x:c r="E352" s="11" t="str">
        <x:v>Bone dice</x:v>
      </x:c>
      <x:c r="F352" s="11" t="str">
        <x:v>pair</x:v>
      </x:c>
      <x:c r="G352" s="51" t="n">
        <x:f>'Basis'!$F$101*K352</x:f>
        <x:v>0.01420021746058283</x:v>
      </x:c>
      <x:c r="H352" s="52" t="n">
        <x:f>G352*'Basis'!$D$7</x:f>
        <x:v>2.9820456667223945</x:v>
      </x:c>
      <x:c r="I352" s="52" t="n">
        <x:f>H352*'Basis'!$D$8</x:f>
        <x:v>166.99455733645408</x:v>
      </x:c>
      <x:c r="J352" s="2" t="str">
        <x:v>sword</x:v>
      </x:c>
      <x:c r="K352" s="20" t="n">
        <x:v>0.015</x:v>
      </x:c>
      <x:c r="L352" s="11" t="str">
        <x:v>Plain gaming dice.</x:v>
      </x:c>
    </x:row>
    <x:row r="353" ht="38" customHeight="1">
      <x:c r="C353" s="2" t="str">
        <x:v>chess</x:v>
      </x:c>
      <x:c r="D353" s="11" t="str">
        <x:v>Writing, healing and personal goods</x:v>
      </x:c>
      <x:c r="E353" s="11" t="str">
        <x:v>Carved gaming set</x:v>
      </x:c>
      <x:c r="F353" s="11" t="str">
        <x:v>set</x:v>
      </x:c>
      <x:c r="G353" s="51" t="n">
        <x:f>'Basis'!$F$101*K353</x:f>
        <x:v>0.3786724656155422</x:v>
      </x:c>
      <x:c r="H353" s="52" t="n">
        <x:f>G353*'Basis'!$D$7</x:f>
        <x:v>79.52121777926386</x:v>
      </x:c>
      <x:c r="I353" s="52" t="n">
        <x:f>H353*'Basis'!$D$8</x:f>
        <x:v>4453.188195638776</x:v>
      </x:c>
      <x:c r="J353" s="2" t="str">
        <x:v>sword</x:v>
      </x:c>
      <x:c r="K353" s="20" t="n">
        <x:v>0.4</x:v>
      </x:c>
      <x:c r="L353" s="11" t="str">
        <x:v>Wood and bone pieces, board included.</x:v>
      </x:c>
    </x:row>
    <x:row r="354" ht="38" customHeight="1">
      <x:c r="C354" s="2" t="str">
        <x:v>silver_cup</x:v>
      </x:c>
      <x:c r="D354" s="11" t="str">
        <x:v>Writing, healing and personal goods</x:v>
      </x:c>
      <x:c r="E354" s="11" t="str">
        <x:v>Plain silver cup</x:v>
      </x:c>
      <x:c r="F354" s="11" t="str">
        <x:v>6 troy-ounce cup</x:v>
      </x:c>
      <x:c r="G354" s="51" t="n">
        <x:f>'Basis'!$F$101*K354</x:f>
        <x:v>3.7867246561554215</x:v>
      </x:c>
      <x:c r="H354" s="52" t="n">
        <x:f>G354*'Basis'!$D$7</x:f>
        <x:v>795.2121777926385</x:v>
      </x:c>
      <x:c r="I354" s="52" t="n">
        <x:f>H354*'Basis'!$D$8</x:f>
        <x:v>44531.881956387755</x:v>
      </x:c>
      <x:c r="J354" s="2" t="str">
        <x:v>sword</x:v>
      </x:c>
      <x:c r="K354" s="20" t="n">
        <x:v>4</x:v>
      </x:c>
      <x:c r="L354" s="11" t="str">
        <x:v>Finished luxury object; quote is not a bullion conversion.</x:v>
      </x:c>
    </x:row>
    <x:row r="355" ht="38" customHeight="1">
      <x:c r="C355" s="2" t="str">
        <x:v>tapestry</x:v>
      </x:c>
      <x:c r="D355" s="11" t="str">
        <x:v>Writing, healing and personal goods</x:v>
      </x:c>
      <x:c r="E355" s="11" t="str">
        <x:v>Wool tapestry</x:v>
      </x:c>
      <x:c r="F355" s="11" t="str">
        <x:v>6 x 4 ft</x:v>
      </x:c>
      <x:c r="G355" s="51" t="n">
        <x:f>'Basis'!$F$101*K355</x:f>
        <x:v>9.466811640388554</x:v>
      </x:c>
      <x:c r="H355" s="52" t="n">
        <x:f>G355*'Basis'!$D$7</x:f>
        <x:v>1988.0304444815965</x:v>
      </x:c>
      <x:c r="I355" s="52" t="n">
        <x:f>H355*'Basis'!$D$8</x:f>
        <x:v>111329.70489096941</x:v>
      </x:c>
      <x:c r="J355" s="2" t="str">
        <x:v>sword</x:v>
      </x:c>
      <x:c r="K355" s="20" t="n">
        <x:v>10</x:v>
      </x:c>
      <x:c r="L355" s="11" t="str">
        <x:v>Ordinary commissioned decorative work.</x:v>
      </x:c>
    </x:row>
    <x:row r="356" ht="38" customHeight="1">
      <x:c r="C356" s="2" t="str">
        <x:v>meal</x:v>
      </x:c>
      <x:c r="D356" s="11" t="str">
        <x:v>Lodging, hire and commercial services</x:v>
      </x:c>
      <x:c r="E356" s="11" t="str">
        <x:v>Common hot meal</x:v>
      </x:c>
      <x:c r="F356" s="11" t="str">
        <x:v>serving</x:v>
      </x:c>
      <x:c r="G356" s="51" t="n">
        <x:f>'Basis'!$F$84*K356</x:f>
        <x:v>0.00207491761981119</x:v>
      </x:c>
      <x:c r="H356" s="52" t="n">
        <x:f>G356*'Basis'!$D$7</x:f>
        <x:v>0.43573270016034993</x:v>
      </x:c>
      <x:c r="I356" s="52" t="n">
        <x:f>H356*'Basis'!$D$8</x:f>
        <x:v>24.401031208979596</x:v>
      </x:c>
      <x:c r="J356" s="2" t="str">
        <x:v>nongrain</x:v>
      </x:c>
      <x:c r="K356" s="20" t="n">
        <x:v>0.005479452054794521</x:v>
      </x:c>
      <x:c r="L356" s="11" t="str">
        <x:v>Bread, stew and small ale; retail service included.</x:v>
      </x:c>
    </x:row>
    <x:row r="357" ht="38" customHeight="1">
      <x:c r="C357" s="2" t="str">
        <x:v>good_meal</x:v>
      </x:c>
      <x:c r="D357" s="11" t="str">
        <x:v>Lodging, hire and commercial services</x:v>
      </x:c>
      <x:c r="E357" s="11" t="str">
        <x:v>Good inn meal</x:v>
      </x:c>
      <x:c r="F357" s="11" t="str">
        <x:v>serving</x:v>
      </x:c>
      <x:c r="G357" s="51" t="n">
        <x:f>'Basis'!$F$84*K357</x:f>
        <x:v>0.005187294049527975</x:v>
      </x:c>
      <x:c r="H357" s="52" t="n">
        <x:f>G357*'Basis'!$D$7</x:f>
        <x:v>1.0893317504008748</x:v>
      </x:c>
      <x:c r="I357" s="52" t="n">
        <x:f>H357*'Basis'!$D$8</x:f>
        <x:v>61.002578022448986</x:v>
      </x:c>
      <x:c r="J357" s="2" t="str">
        <x:v>nongrain</x:v>
      </x:c>
      <x:c r="K357" s="20" t="n">
        <x:v>0.0136986301369863</x:v>
      </x:c>
      <x:c r="L357" s="11" t="str">
        <x:v>Generous meal and ordinary drink.</x:v>
      </x:c>
    </x:row>
    <x:row r="358" ht="38" customHeight="1">
      <x:c r="C358" s="2" t="str">
        <x:v>common_bed</x:v>
      </x:c>
      <x:c r="D358" s="11" t="str">
        <x:v>Lodging, hire and commercial services</x:v>
      </x:c>
      <x:c r="E358" s="11" t="str">
        <x:v>Common-room sleeping place</x:v>
      </x:c>
      <x:c r="F358" s="11" t="str">
        <x:v>person-night</x:v>
      </x:c>
      <x:c r="G358" s="51" t="n">
        <x:f>'Basis'!$F$71*K358</x:f>
        <x:v>0.00038640047511790017</x:v>
      </x:c>
      <x:c r="H358" s="52" t="n">
        <x:f>G358*'Basis'!$D$7</x:f>
        <x:v>0.08114409977475903</x:v>
      </x:c>
      <x:c r="I358" s="52" t="n">
        <x:f>H358*'Basis'!$D$8</x:f>
        <x:v>4.544069587386506</x:v>
      </x:c>
      <x:c r="J358" s="2" t="str">
        <x:v>harvestday</x:v>
      </x:c>
      <x:c r="K358" s="20" t="n">
        <x:v>0.2</x:v>
      </x:c>
      <x:c r="L358" s="11" t="str">
        <x:v>Straw bedding, no food.</x:v>
      </x:c>
    </x:row>
    <x:row r="359" ht="38" customHeight="1">
      <x:c r="C359" s="2" t="str">
        <x:v>private_room</x:v>
      </x:c>
      <x:c r="D359" s="11" t="str">
        <x:v>Lodging, hire and commercial services</x:v>
      </x:c>
      <x:c r="E359" s="11" t="str">
        <x:v>Private inn room</x:v>
      </x:c>
      <x:c r="F359" s="11" t="str">
        <x:v>room-night</x:v>
      </x:c>
      <x:c r="G359" s="51" t="n">
        <x:f>'Basis'!$F$71*K359</x:f>
        <x:v>0.0023184028507074006</x:v>
      </x:c>
      <x:c r="H359" s="52" t="n">
        <x:f>G359*'Basis'!$D$7</x:f>
        <x:v>0.48686459864855414</x:v>
      </x:c>
      <x:c r="I359" s="52" t="n">
        <x:f>H359*'Basis'!$D$8</x:f>
        <x:v>27.264417524319033</x:v>
      </x:c>
      <x:c r="J359" s="2" t="str">
        <x:v>harvestday</x:v>
      </x:c>
      <x:c r="K359" s="20" t="n">
        <x:v>1.2</x:v>
      </x:c>
      <x:c r="L359" s="11" t="str">
        <x:v>Simple room for up to two; no food.</x:v>
      </x:c>
    </x:row>
    <x:row r="360" ht="38" customHeight="1">
      <x:c r="C360" s="2" t="str">
        <x:v>good_room</x:v>
      </x:c>
      <x:c r="D360" s="11" t="str">
        <x:v>Lodging, hire and commercial services</x:v>
      </x:c>
      <x:c r="E360" s="11" t="str">
        <x:v>Good inn chamber</x:v>
      </x:c>
      <x:c r="F360" s="11" t="str">
        <x:v>room-night</x:v>
      </x:c>
      <x:c r="G360" s="51" t="n">
        <x:f>'Basis'!$F$71*K360</x:f>
        <x:v>0.0077280095023580025</x:v>
      </x:c>
      <x:c r="H360" s="52" t="n">
        <x:f>G360*'Basis'!$D$7</x:f>
        <x:v>1.6228819954951805</x:v>
      </x:c>
      <x:c r="I360" s="52" t="n">
        <x:f>H360*'Basis'!$D$8</x:f>
        <x:v>90.8813917477301</x:v>
      </x:c>
      <x:c r="J360" s="2" t="str">
        <x:v>harvestday</x:v>
      </x:c>
      <x:c r="K360" s="20" t="n">
        <x:v>4</x:v>
      </x:c>
      <x:c r="L360" s="11" t="str">
        <x:v>Better furnishing; no food.</x:v>
      </x:c>
    </x:row>
    <x:row r="361" ht="38" customHeight="1">
      <x:c r="C361" s="2" t="str">
        <x:v>stable_night</x:v>
      </x:c>
      <x:c r="D361" s="11" t="str">
        <x:v>Lodging, hire and commercial services</x:v>
      </x:c>
      <x:c r="E361" s="11" t="str">
        <x:v>Stabling with hay</x:v>
      </x:c>
      <x:c r="F361" s="11" t="str">
        <x:v>horse-night</x:v>
      </x:c>
      <x:c r="G361" s="51" t="n">
        <x:f>'Basis'!$F$71*K361</x:f>
        <x:v>0.0003477604276061101</x:v>
      </x:c>
      <x:c r="H361" s="52" t="n">
        <x:f>G361*'Basis'!$D$7</x:f>
        <x:v>0.07302968979728312</x:v>
      </x:c>
      <x:c r="I361" s="52" t="n">
        <x:f>H361*'Basis'!$D$8</x:f>
        <x:v>4.089662628647855</x:v>
      </x:c>
      <x:c r="J361" s="2" t="str">
        <x:v>harvestday</x:v>
      </x:c>
      <x:c r="K361" s="20" t="n">
        <x:v>0.18</x:v>
      </x:c>
      <x:c r="L361" s="11" t="str">
        <x:v>Hay, water and stall; grain extra.</x:v>
      </x:c>
    </x:row>
    <x:row r="362" ht="38" customHeight="1">
      <x:c r="C362" s="2" t="str">
        <x:v>bath</x:v>
      </x:c>
      <x:c r="D362" s="11" t="str">
        <x:v>Lodging, hire and commercial services</x:v>
      </x:c>
      <x:c r="E362" s="11" t="str">
        <x:v>Hot bath</x:v>
      </x:c>
      <x:c r="F362" s="11" t="str">
        <x:v>person</x:v>
      </x:c>
      <x:c r="G362" s="51" t="n">
        <x:f>'Basis'!$F$71*K362</x:f>
        <x:v>0.0006762008314563252</x:v>
      </x:c>
      <x:c r="H362" s="52" t="n">
        <x:f>G362*'Basis'!$D$7</x:f>
        <x:v>0.14200217460582829</x:v>
      </x:c>
      <x:c r="I362" s="52" t="n">
        <x:f>H362*'Basis'!$D$8</x:f>
        <x:v>7.952121777926384</x:v>
      </x:c>
      <x:c r="J362" s="2" t="str">
        <x:v>harvestday</x:v>
      </x:c>
      <x:c r="K362" s="20" t="n">
        <x:v>0.35</x:v>
      </x:c>
      <x:c r="L362" s="11" t="str">
        <x:v>Inn or bathhouse service.</x:v>
      </x:c>
    </x:row>
    <x:row r="363" ht="38" customHeight="1">
      <x:c r="C363" s="2" t="str">
        <x:v>laundry</x:v>
      </x:c>
      <x:c r="D363" s="11" t="str">
        <x:v>Lodging, hire and commercial services</x:v>
      </x:c>
      <x:c r="E363" s="11" t="str">
        <x:v>Laundry</x:v>
      </x:c>
      <x:c r="F363" s="11" t="str">
        <x:v>10 garments</x:v>
      </x:c>
      <x:c r="G363" s="51" t="n">
        <x:f>'Basis'!$F$71*K363</x:f>
        <x:v>0.0009660011877947503</x:v>
      </x:c>
      <x:c r="H363" s="52" t="n">
        <x:f>G363*'Basis'!$D$7</x:f>
        <x:v>0.20286024943689757</x:v>
      </x:c>
      <x:c r="I363" s="52" t="n">
        <x:f>H363*'Basis'!$D$8</x:f>
        <x:v>11.360173968466263</x:v>
      </x:c>
      <x:c r="J363" s="2" t="str">
        <x:v>harvestday</x:v>
      </x:c>
      <x:c r="K363" s="20" t="n">
        <x:v>0.5</x:v>
      </x:c>
      <x:c r="L363" s="11" t="str">
        <x:v>Ordinary wash, no mending.</x:v>
      </x:c>
    </x:row>
    <x:row r="364" ht="38" customHeight="1">
      <x:c r="C364" s="2" t="str">
        <x:v>boot_repair</x:v>
      </x:c>
      <x:c r="D364" s="11" t="str">
        <x:v>Lodging, hire and commercial services</x:v>
      </x:c>
      <x:c r="E364" s="11" t="str">
        <x:v>Boot resole</x:v>
      </x:c>
      <x:c r="F364" s="11" t="str">
        <x:v>pair</x:v>
      </x:c>
      <x:c r="G364" s="51" t="n">
        <x:f>'Basis'!$F$85*K364</x:f>
        <x:v>0.02272034793693253</x:v>
      </x:c>
      <x:c r="H364" s="52" t="n">
        <x:f>G364*'Basis'!$D$7</x:f>
        <x:v>4.771273066755831</x:v>
      </x:c>
      <x:c r="I364" s="52" t="n">
        <x:f>H364*'Basis'!$D$8</x:f>
        <x:v>267.1912917383265</x:v>
      </x:c>
      <x:c r="J364" s="2" t="str">
        <x:v>livery</x:v>
      </x:c>
      <x:c r="K364" s="20" t="n">
        <x:v>0.12</x:v>
      </x:c>
      <x:c r="L364" s="11" t="str">
        <x:v>Ordinary leather and labour.</x:v>
      </x:c>
    </x:row>
    <x:row r="365" ht="38" customHeight="1">
      <x:c r="C365" s="2" t="str">
        <x:v>shoeing</x:v>
      </x:c>
      <x:c r="D365" s="11" t="str">
        <x:v>Lodging, hire and commercial services</x:v>
      </x:c>
      <x:c r="E365" s="11" t="str">
        <x:v>Horse shoeing</x:v>
      </x:c>
      <x:c r="F365" s="11" t="str">
        <x:v>four shoes fitted</x:v>
      </x:c>
      <x:c r="G365" s="51" t="n">
        <x:f>'Basis'!$F$100*K365</x:f>
        <x:v>0.03606404434433735</x:v>
      </x:c>
      <x:c r="H365" s="52" t="n">
        <x:f>G365*'Basis'!$D$7</x:f>
        <x:v>7.573449312310843</x:v>
      </x:c>
      <x:c r="I365" s="52" t="n">
        <x:f>H365*'Basis'!$D$8</x:f>
        <x:v>424.1131614894072</x:v>
      </x:c>
      <x:c r="J365" s="2" t="str">
        <x:v>iron</x:v>
      </x:c>
      <x:c r="K365" s="20" t="n">
        <x:v>0.4</x:v>
      </x:c>
      <x:c r="L365" s="11" t="str">
        <x:v>Includes four shoes and farrier labour.</x:v>
      </x:c>
    </x:row>
    <x:row r="366" ht="38" customHeight="1">
      <x:c r="C366" s="2" t="str">
        <x:v>cart_hire</x:v>
      </x:c>
      <x:c r="D366" s="11" t="str">
        <x:v>Lodging, hire and commercial services</x:v>
      </x:c>
      <x:c r="E366" s="11" t="str">
        <x:v>Cart with driver and horse</x:v>
      </x:c>
      <x:c r="F366" s="11" t="str">
        <x:v>day, up to 15 miles</x:v>
      </x:c>
      <x:c r="G366" s="51" t="n">
        <x:f>'Basis'!$F$71*K366</x:f>
        <x:v>0.0077280095023580025</x:v>
      </x:c>
      <x:c r="H366" s="52" t="n">
        <x:f>G366*'Basis'!$D$7</x:f>
        <x:v>1.6228819954951805</x:v>
      </x:c>
      <x:c r="I366" s="52" t="n">
        <x:f>H366*'Basis'!$D$8</x:f>
        <x:v>90.8813917477301</x:v>
      </x:c>
      <x:c r="J366" s="2" t="str">
        <x:v>harvestday</x:v>
      </x:c>
      <x:c r="K366" s="20" t="n">
        <x:v>4</x:v>
      </x:c>
      <x:c r="L366" s="11" t="str">
        <x:v>Ordinary feed included; overnight lodging extra.</x:v>
      </x:c>
    </x:row>
    <x:row r="367" ht="38" customHeight="1">
      <x:c r="C367" s="2" t="str">
        <x:v>wagon_hire</x:v>
      </x:c>
      <x:c r="D367" s="11" t="str">
        <x:v>Lodging, hire and commercial services</x:v>
      </x:c>
      <x:c r="E367" s="11" t="str">
        <x:v>Wagon, driver and two horses</x:v>
      </x:c>
      <x:c r="F367" s="11" t="str">
        <x:v>day, up to 12 miles</x:v>
      </x:c>
      <x:c r="G367" s="51" t="n">
        <x:f>'Basis'!$F$71*K367</x:f>
        <x:v>0.011592014253537003</x:v>
      </x:c>
      <x:c r="H367" s="52" t="n">
        <x:f>G367*'Basis'!$D$7</x:f>
        <x:v>2.4343229932427706</x:v>
      </x:c>
      <x:c r="I367" s="52" t="n">
        <x:f>H367*'Basis'!$D$8</x:f>
        <x:v>136.32208762159516</x:v>
      </x:c>
      <x:c r="J367" s="2" t="str">
        <x:v>harvestday</x:v>
      </x:c>
      <x:c r="K367" s="20" t="n">
        <x:v>6</x:v>
      </x:c>
      <x:c r="L367" s="11" t="str">
        <x:v>Ordinary feed included; overnight lodging extra.</x:v>
      </x:c>
    </x:row>
    <x:row r="368" ht="38" customHeight="1">
      <x:c r="C368" s="2" t="str">
        <x:v>horse_hire</x:v>
      </x:c>
      <x:c r="D368" s="11" t="str">
        <x:v>Lodging, hire and commercial services</x:v>
      </x:c>
      <x:c r="E368" s="11" t="str">
        <x:v>Riding horse hire</x:v>
      </x:c>
      <x:c r="F368" s="11" t="str">
        <x:v>day</x:v>
      </x:c>
      <x:c r="G368" s="51" t="n">
        <x:f>'Basis'!$F$87*K368</x:f>
        <x:v>0.008520130476349698</x:v>
      </x:c>
      <x:c r="H368" s="52" t="n">
        <x:f>G368*'Basis'!$D$7</x:f>
        <x:v>1.7892274000334367</x:v>
      </x:c>
      <x:c r="I368" s="52" t="n">
        <x:f>H368*'Basis'!$D$8</x:f>
        <x:v>100.19673440187246</x:v>
      </x:c>
      <x:c r="J368" s="2" t="str">
        <x:v>ridinghorse</x:v>
      </x:c>
      <x:c r="K368" s="20" t="n">
        <x:v>0.003</x:v>
      </x:c>
      <x:c r="L368" s="11" t="str">
        <x:v>Tack included; customer supplies feed; security deposit extra.</x:v>
      </x:c>
    </x:row>
    <x:row r="369" ht="38" customHeight="1">
      <x:c r="C369" s="2" t="str">
        <x:v>courier</x:v>
      </x:c>
      <x:c r="D369" s="11" t="str">
        <x:v>Lodging, hire and commercial services</x:v>
      </x:c>
      <x:c r="E369" s="11" t="str">
        <x:v>Mounted courier</x:v>
      </x:c>
      <x:c r="F369" s="11" t="str">
        <x:v>100-mile dispatch</x:v>
      </x:c>
      <x:c r="G369" s="51" t="n">
        <x:f>'Basis'!$F$80*K369</x:f>
        <x:v>0.1659934095848952</x:v>
      </x:c>
      <x:c r="H369" s="52" t="n">
        <x:f>G369*'Basis'!$D$7</x:f>
        <x:v>34.858616012827994</x:v>
      </x:c>
      <x:c r="I369" s="52" t="n">
        <x:f>H369*'Basis'!$D$8</x:f>
        <x:v>1952.0824967183676</x:v>
      </x:c>
      <x:c r="J369" s="2" t="str">
        <x:v>mounted</x:v>
      </x:c>
      <x:c r="K369" s="20" t="n">
        <x:v>0.021917808219178082</x:v>
      </x:c>
      <x:c r="L369" s="11" t="str">
        <x:v>About four travel days and return allowance; no armed escort.</x:v>
      </x:c>
    </x:row>
    <x:row r="370" ht="38" customHeight="1">
      <x:c r="C370" s="2" t="str">
        <x:v>scribe_page</x:v>
      </x:c>
      <x:c r="D370" s="11" t="str">
        <x:v>Lodging, hire and commercial services</x:v>
      </x:c>
      <x:c r="E370" s="11" t="str">
        <x:v>Scribe copying</x:v>
      </x:c>
      <x:c r="F370" s="11" t="str">
        <x:v>finished page</x:v>
      </x:c>
      <x:c r="G370" s="51" t="n">
        <x:f>'Basis'!$F$82*K370</x:f>
        <x:v>0.0023667029100971388</x:v>
      </x:c>
      <x:c r="H370" s="52" t="n">
        <x:f>G370*'Basis'!$D$7</x:f>
        <x:v>0.49700761112039915</x:v>
      </x:c>
      <x:c r="I370" s="52" t="n">
        <x:f>H370*'Basis'!$D$8</x:f>
        <x:v>27.832426222742352</x:v>
      </x:c>
      <x:c r="J370" s="2" t="str">
        <x:v>clerk</x:v>
      </x:c>
      <x:c r="K370" s="20" t="n">
        <x:v>0.0004166666666666667</x:v>
      </x:c>
      <x:c r="L370" s="11" t="str">
        <x:v>Plain text; parchment extra.</x:v>
      </x:c>
    </x:row>
    <x:row r="371" ht="38" customHeight="1">
      <x:c r="C371" s="2" t="str">
        <x:v>contract</x:v>
      </x:c>
      <x:c r="D371" s="11" t="str">
        <x:v>Lodging, hire and commercial services</x:v>
      </x:c>
      <x:c r="E371" s="11" t="str">
        <x:v>Written and witnessed contract</x:v>
      </x:c>
      <x:c r="F371" s="11" t="str">
        <x:v>simple contract</x:v>
      </x:c>
      <x:c r="G371" s="51" t="n">
        <x:f>'Basis'!$F$82*K371</x:f>
        <x:v>0.03786724656155422</x:v>
      </x:c>
      <x:c r="H371" s="52" t="n">
        <x:f>G371*'Basis'!$D$7</x:f>
        <x:v>7.952121777926386</x:v>
      </x:c>
      <x:c r="I371" s="52" t="n">
        <x:f>H371*'Basis'!$D$8</x:f>
        <x:v>445.31881956387764</x:v>
      </x:c>
      <x:c r="J371" s="2" t="str">
        <x:v>clerk</x:v>
      </x:c>
      <x:c r="K371" s="20" t="n">
        <x:v>0.006666666666666667</x:v>
      </x:c>
      <x:c r="L371" s="11" t="str">
        <x:v>Clerk time and common writing materials.</x:v>
      </x:c>
    </x:row>
    <x:row r="372" ht="38" customHeight="1">
      <x:c r="C372" s="2" t="str">
        <x:v>coin_test</x:v>
      </x:c>
      <x:c r="D372" s="11" t="str">
        <x:v>Lodging, hire and commercial services</x:v>
      </x:c>
      <x:c r="E372" s="11" t="str">
        <x:v>Coin weighing and assay</x:v>
      </x:c>
      <x:c r="F372" s="11" t="str">
        <x:v>100 coins examined</x:v>
      </x:c>
      <x:c r="G372" s="51" t="n">
        <x:f>'Basis'!$F$82*K372</x:f>
        <x:v>0.009466811640388555</x:v>
      </x:c>
      <x:c r="H372" s="52" t="n">
        <x:f>G372*'Basis'!$D$7</x:f>
        <x:v>1.9880304444815966</x:v>
      </x:c>
      <x:c r="I372" s="52" t="n">
        <x:f>H372*'Basis'!$D$8</x:f>
        <x:v>111.32970489096941</x:v>
      </x:c>
      <x:c r="J372" s="2" t="str">
        <x:v>clerk</x:v>
      </x:c>
      <x:c r="K372" s="20" t="n">
        <x:v>0.0016666666666666668</x:v>
      </x:c>
      <x:c r="L372" s="11" t="str">
        <x:v>Service fee; clipping losses are separate.</x:v>
      </x:c>
    </x:row>
    <x:row r="373" ht="38" customHeight="1">
      <x:c r="C373" s="2" t="str">
        <x:v>land_survey</x:v>
      </x:c>
      <x:c r="D373" s="11" t="str">
        <x:v>Lodging, hire and commercial services</x:v>
      </x:c>
      <x:c r="E373" s="11" t="str">
        <x:v>Field survey</x:v>
      </x:c>
      <x:c r="F373" s="11" t="str">
        <x:v>100 acres</x:v>
      </x:c>
      <x:c r="G373" s="51" t="n">
        <x:f>'Basis'!$F$88*K373</x:f>
        <x:v>0.15146898624621688</x:v>
      </x:c>
      <x:c r="H373" s="52" t="n">
        <x:f>G373*'Basis'!$D$7</x:f>
        <x:v>31.808487111705546</x:v>
      </x:c>
      <x:c r="I373" s="52" t="n">
        <x:f>H373*'Basis'!$D$8</x:f>
        <x:v>1781.2752782555106</x:v>
      </x:c>
      <x:c r="J373" s="2" t="str">
        <x:v>mason</x:v>
      </x:c>
      <x:c r="K373" s="20" t="n">
        <x:v>0.02666666666666667</x:v>
      </x:c>
      <x:c r="L373" s="11" t="str">
        <x:v>Small team and ordinary local travel.</x:v>
      </x:c>
    </x:row>
    <x:row r="374" ht="38" customHeight="1">
      <x:c r="C374" s="2" t="str">
        <x:v>warehouse</x:v>
      </x:c>
      <x:c r="D374" s="11" t="str">
        <x:v>Lodging, hire and commercial services</x:v>
      </x:c>
      <x:c r="E374" s="11" t="str">
        <x:v>Dry warehouse space</x:v>
      </x:c>
      <x:c r="F374" s="11" t="str">
        <x:v>long ton-month</x:v>
      </x:c>
      <x:c r="G374" s="51" t="n">
        <x:f>'Basis'!$F$99*K374</x:f>
        <x:v>0.0056800869842331325</x:v>
      </x:c>
      <x:c r="H374" s="52" t="n">
        <x:f>G374*'Basis'!$D$7</x:f>
        <x:v>1.1928182666889577</x:v>
      </x:c>
      <x:c r="I374" s="52" t="n">
        <x:f>H374*'Basis'!$D$8</x:f>
        <x:v>66.79782293458163</x:v>
      </x:c>
      <x:c r="J374" s="2" t="str">
        <x:v>timber</x:v>
      </x:c>
      <x:c r="K374" s="20" t="n">
        <x:v>0.015</x:v>
      </x:c>
      <x:c r="L374" s="11" t="str">
        <x:v>Ordinary goods, no cold storage.</x:v>
      </x:c>
    </x:row>
    <x:row r="375" ht="38" customHeight="1">
      <x:c r="C375" s="2" t="str">
        <x:v>loading</x:v>
      </x:c>
      <x:c r="D375" s="11" t="str">
        <x:v>Lodging, hire and commercial services</x:v>
      </x:c>
      <x:c r="E375" s="11" t="str">
        <x:v>Quayside loading or unloading</x:v>
      </x:c>
      <x:c r="F375" s="11" t="str">
        <x:v>long ton per operation</x:v>
      </x:c>
      <x:c r="G375" s="51" t="n">
        <x:f>'Basis'!$F$71*K375</x:f>
        <x:v>0.0011592014253537003</x:v>
      </x:c>
      <x:c r="H375" s="52" t="n">
        <x:f>G375*'Basis'!$D$7</x:f>
        <x:v>0.24343229932427707</x:v>
      </x:c>
      <x:c r="I375" s="52" t="n">
        <x:f>H375*'Basis'!$D$8</x:f>
        <x:v>13.632208762159516</x:v>
      </x:c>
      <x:c r="J375" s="2" t="str">
        <x:v>harvestday</x:v>
      </x:c>
      <x:c r="K375" s="20" t="n">
        <x:v>0.6</x:v>
      </x:c>
      <x:c r="L375" s="11" t="str">
        <x:v>Dock labour; crane lifts extra.</x:v>
      </x:c>
    </x:row>
    <x:row r="376" ht="38" customHeight="1">
      <x:c r="C376" s="2" t="str">
        <x:v>road_freight</x:v>
      </x:c>
      <x:c r="D376" s="11" t="str">
        <x:v>Lodging, hire and commercial services</x:v>
      </x:c>
      <x:c r="E376" s="11" t="str">
        <x:v>Road freight</x:v>
      </x:c>
      <x:c r="F376" s="11" t="str">
        <x:v>long ton per 100 miles</x:v>
      </x:c>
      <x:c r="G376" s="51" t="n">
        <x:f>'Basis'!$F$71*K376</x:f>
        <x:v>0.16422020192510756</x:v>
      </x:c>
      <x:c r="H376" s="52" t="n">
        <x:f>G376*'Basis'!$D$7</x:f>
        <x:v>34.48624240427259</x:v>
      </x:c>
      <x:c r="I376" s="52" t="n">
        <x:f>H376*'Basis'!$D$8</x:f>
        <x:v>1931.229574639265</x:v>
      </x:c>
      <x:c r="J376" s="2" t="str">
        <x:v>harvestday</x:v>
      </x:c>
      <x:c r="K376" s="20" t="n">
        <x:v>85</x:v>
      </x:c>
      <x:c r="L376" s="11" t="str">
        <x:v>Commercial full-load road haul; includes driver, feed and return-load allowance.</x:v>
      </x:c>
    </x:row>
    <x:row r="377" ht="38" customHeight="1">
      <x:c r="C377" s="2" t="str">
        <x:v>river_freight</x:v>
      </x:c>
      <x:c r="D377" s="11" t="str">
        <x:v>Lodging, hire and commercial services</x:v>
      </x:c>
      <x:c r="E377" s="11" t="str">
        <x:v>Downriver freight</x:v>
      </x:c>
      <x:c r="F377" s="11" t="str">
        <x:v>long ton per 100 miles</x:v>
      </x:c>
      <x:c r="G377" s="51" t="n">
        <x:f>'Basis'!$F$71*K377</x:f>
        <x:v>0.03477604276061101</x:v>
      </x:c>
      <x:c r="H377" s="52" t="n">
        <x:f>G377*'Basis'!$D$7</x:f>
        <x:v>7.302968979728313</x:v>
      </x:c>
      <x:c r="I377" s="52" t="n">
        <x:f>H377*'Basis'!$D$8</x:f>
        <x:v>408.9662628647855</x:v>
      </x:c>
      <x:c r="J377" s="2" t="str">
        <x:v>harvestday</x:v>
      </x:c>
      <x:c r="K377" s="20" t="n">
        <x:v>18</x:v>
      </x:c>
      <x:c r="L377" s="11" t="str">
        <x:v>Navigable ordinary route; handling and tolls extra.</x:v>
      </x:c>
    </x:row>
    <x:row r="378" ht="38" customHeight="1">
      <x:c r="C378" s="2" t="str">
        <x:v>upriver_freight</x:v>
      </x:c>
      <x:c r="D378" s="11" t="str">
        <x:v>Lodging, hire and commercial services</x:v>
      </x:c>
      <x:c r="E378" s="11" t="str">
        <x:v>Upriver freight</x:v>
      </x:c>
      <x:c r="F378" s="11" t="str">
        <x:v>long ton per 100 miles</x:v>
      </x:c>
      <x:c r="G378" s="51" t="n">
        <x:f>'Basis'!$F$71*K378</x:f>
        <x:v>0.06182407601886402</x:v>
      </x:c>
      <x:c r="H378" s="52" t="n">
        <x:f>G378*'Basis'!$D$7</x:f>
        <x:v>12.983055963961444</x:v>
      </x:c>
      <x:c r="I378" s="52" t="n">
        <x:f>H378*'Basis'!$D$8</x:f>
        <x:v>727.0511339818408</x:v>
      </x:c>
      <x:c r="J378" s="2" t="str">
        <x:v>harvestday</x:v>
      </x:c>
      <x:c r="K378" s="20" t="n">
        <x:v>32</x:v>
      </x:c>
      <x:c r="L378" s="11" t="str">
        <x:v>Towing or rowing allowance; handling and tolls extra.</x:v>
      </x:c>
    </x:row>
    <x:row r="379" ht="38" customHeight="1">
      <x:c r="C379" s="2" t="str">
        <x:v>coastal_freight</x:v>
      </x:c>
      <x:c r="D379" s="11" t="str">
        <x:v>Lodging, hire and commercial services</x:v>
      </x:c>
      <x:c r="E379" s="11" t="str">
        <x:v>Coastal sea freight</x:v>
      </x:c>
      <x:c r="F379" s="11" t="str">
        <x:v>long ton per 100 sea miles</x:v>
      </x:c>
      <x:c r="G379" s="51" t="n">
        <x:f>'Basis'!$F$71*K379</x:f>
        <x:v>0.03091203800943201</x:v>
      </x:c>
      <x:c r="H379" s="52" t="n">
        <x:f>G379*'Basis'!$D$7</x:f>
        <x:v>6.491527981980722</x:v>
      </x:c>
      <x:c r="I379" s="52" t="n">
        <x:f>H379*'Basis'!$D$8</x:f>
        <x:v>363.5255669909204</x:v>
      </x:c>
      <x:c r="J379" s="2" t="str">
        <x:v>harvestday</x:v>
      </x:c>
      <x:c r="K379" s="20" t="n">
        <x:v>16</x:v>
      </x:c>
      <x:c r="L379" s="11" t="str">
        <x:v>Ordinary cargo, viable full cargo; handling and port dues extra.</x:v>
      </x:c>
    </x:row>
    <x:row r="380" ht="38" customHeight="1">
      <x:c r="C380" s="2" t="str">
        <x:v>sea_passage</x:v>
      </x:c>
      <x:c r="D380" s="11" t="str">
        <x:v>Lodging, hire and commercial services</x:v>
      </x:c>
      <x:c r="E380" s="11" t="str">
        <x:v>Coastal deck passage</x:v>
      </x:c>
      <x:c r="F380" s="11" t="str">
        <x:v>person per 100 sea miles</x:v>
      </x:c>
      <x:c r="G380" s="51" t="n">
        <x:f>'Basis'!$F$71*K380</x:f>
        <x:v>0.002898003563384251</x:v>
      </x:c>
      <x:c r="H380" s="52" t="n">
        <x:f>G380*'Basis'!$D$7</x:f>
        <x:v>0.6085807483106926</x:v>
      </x:c>
      <x:c r="I380" s="52" t="n">
        <x:f>H380*'Basis'!$D$8</x:f>
        <x:v>34.08052190539879</x:v>
      </x:c>
      <x:c r="J380" s="2" t="str">
        <x:v>harvestday</x:v>
      </x:c>
      <x:c r="K380" s="20" t="n">
        <x:v>1.5</x:v>
      </x:c>
      <x:c r="L380" s="11" t="str">
        <x:v>Basic passage, own provisions.</x:v>
      </x:c>
    </x:row>
    <x:row r="381" ht="38" customHeight="1">
      <x:c r="C381" s="2" t="str">
        <x:v>ferry</x:v>
      </x:c>
      <x:c r="D381" s="11" t="str">
        <x:v>Lodging, hire and commercial services</x:v>
      </x:c>
      <x:c r="E381" s="11" t="str">
        <x:v>River ferry</x:v>
      </x:c>
      <x:c r="F381" s="11" t="str">
        <x:v>person crossing</x:v>
      </x:c>
      <x:c r="G381" s="51" t="n">
        <x:f>'Basis'!$F$71*K381</x:f>
        <x:v>0.00015456019004716004</x:v>
      </x:c>
      <x:c r="H381" s="52" t="n">
        <x:f>G381*'Basis'!$D$7</x:f>
        <x:v>0.03245763990990361</x:v>
      </x:c>
      <x:c r="I381" s="52" t="n">
        <x:f>H381*'Basis'!$D$8</x:f>
        <x:v>1.817627834954602</x:v>
      </x:c>
      <x:c r="J381" s="2" t="str">
        <x:v>harvestday</x:v>
      </x:c>
      <x:c r="K381" s="20" t="n">
        <x:v>0.08</x:v>
      </x:c>
      <x:c r="L381" s="11" t="str">
        <x:v>Ordinary short crossing.</x:v>
      </x:c>
    </x:row>
    <x:row r="382" ht="38" customHeight="1">
      <x:c r="C382" s="2" t="str">
        <x:v>ferry_cart</x:v>
      </x:c>
      <x:c r="D382" s="11" t="str">
        <x:v>Lodging, hire and commercial services</x:v>
      </x:c>
      <x:c r="E382" s="11" t="str">
        <x:v>River ferry</x:v>
      </x:c>
      <x:c r="F382" s="11" t="str">
        <x:v>cart and team crossing</x:v>
      </x:c>
      <x:c r="G382" s="51" t="n">
        <x:f>'Basis'!$F$71*K382</x:f>
        <x:v>0.0011592014253537003</x:v>
      </x:c>
      <x:c r="H382" s="52" t="n">
        <x:f>G382*'Basis'!$D$7</x:f>
        <x:v>0.24343229932427707</x:v>
      </x:c>
      <x:c r="I382" s="52" t="n">
        <x:f>H382*'Basis'!$D$8</x:f>
        <x:v>13.632208762159516</x:v>
      </x:c>
      <x:c r="J382" s="2" t="str">
        <x:v>harvestday</x:v>
      </x:c>
      <x:c r="K382" s="20" t="n">
        <x:v>0.6</x:v>
      </x:c>
      <x:c r="L382" s="11" t="str">
        <x:v>Driver included.</x:v>
      </x:c>
    </x:row>
    <x:row r="383" ht="38" customHeight="1">
      <x:c r="C383" s="2" t="str">
        <x:v>crane</x:v>
      </x:c>
      <x:c r="D383" s="11" t="str">
        <x:v>Lodging, hire and commercial services</x:v>
      </x:c>
      <x:c r="E383" s="11" t="str">
        <x:v>Quay crane lift</x:v>
      </x:c>
      <x:c r="F383" s="11" t="str">
        <x:v>load up to 1 long ton</x:v>
      </x:c>
      <x:c r="G383" s="51" t="n">
        <x:f>'Basis'!$F$71*K383</x:f>
        <x:v>0.0009660011877947503</x:v>
      </x:c>
      <x:c r="H383" s="52" t="n">
        <x:f>G383*'Basis'!$D$7</x:f>
        <x:v>0.20286024943689757</x:v>
      </x:c>
      <x:c r="I383" s="52" t="n">
        <x:f>H383*'Basis'!$D$8</x:f>
        <x:v>11.360173968466263</x:v>
      </x:c>
      <x:c r="J383" s="2" t="str">
        <x:v>harvestday</x:v>
      </x:c>
      <x:c r="K383" s="20" t="n">
        <x:v>0.5</x:v>
      </x:c>
      <x:c r="L383" s="11" t="str">
        <x:v>One lift; other handling extra.</x:v>
      </x:c>
    </x:row>
    <x:row r="384" ht="38" customHeight="1">
      <x:c r="C384" s="2" t="str">
        <x:v>field_lease</x:v>
      </x:c>
      <x:c r="D384" s="11" t="str">
        <x:v>Land and premises</x:v>
      </x:c>
      <x:c r="E384" s="11" t="str">
        <x:v>Arable field lease</x:v>
      </x:c>
      <x:c r="F384" s="11" t="str">
        <x:v>acre-year</x:v>
      </x:c>
      <x:c r="G384" s="51" t="n">
        <x:f>'Basis'!$F$65*K384</x:f>
        <x:v>0.0075734493123108424</x:v>
      </x:c>
      <x:c r="H384" s="52" t="n">
        <x:f>G384*'Basis'!$D$7</x:f>
        <x:v>1.5904243555852768</x:v>
      </x:c>
      <x:c r="I384" s="52" t="n">
        <x:f>H384*'Basis'!$D$8</x:f>
        <x:v>89.0637639127755</x:v>
      </x:c>
      <x:c r="J384" s="2" t="str">
        <x:v>rye</x:v>
      </x:c>
      <x:c r="K384" s="20" t="n">
        <x:v>0.12</x:v>
      </x:c>
      <x:c r="L384" s="11" t="str">
        <x:v>Indicative new cash lease, ordinary land; existing fiscal rents remain separate.</x:v>
      </x:c>
    </x:row>
    <x:row r="385" ht="38" customHeight="1">
      <x:c r="C385" s="2" t="str">
        <x:v>meadow_lease</x:v>
      </x:c>
      <x:c r="D385" s="11" t="str">
        <x:v>Land and premises</x:v>
      </x:c>
      <x:c r="E385" s="11" t="str">
        <x:v>Hay meadow lease</x:v>
      </x:c>
      <x:c r="F385" s="11" t="str">
        <x:v>acre-year</x:v>
      </x:c>
      <x:c r="G385" s="51" t="n">
        <x:f>'Basis'!$F$65*K385</x:f>
        <x:v>0.0063112077602590355</x:v>
      </x:c>
      <x:c r="H385" s="52" t="n">
        <x:f>G385*'Basis'!$D$7</x:f>
        <x:v>1.3253536296543975</x:v>
      </x:c>
      <x:c r="I385" s="52" t="n">
        <x:f>H385*'Basis'!$D$8</x:f>
        <x:v>74.21980326064626</x:v>
      </x:c>
      <x:c r="J385" s="2" t="str">
        <x:v>rye</x:v>
      </x:c>
      <x:c r="K385" s="20" t="n">
        <x:v>0.1</x:v>
      </x:c>
      <x:c r="L385" s="11" t="str">
        <x:v>Exclusive seasonal hay cutting; no buildings.</x:v>
      </x:c>
    </x:row>
    <x:row r="386" ht="38" customHeight="1">
      <x:c r="C386" s="2" t="str">
        <x:v>grazing_lease</x:v>
      </x:c>
      <x:c r="D386" s="11" t="str">
        <x:v>Land and premises</x:v>
      </x:c>
      <x:c r="E386" s="11" t="str">
        <x:v>Rough grazing lease</x:v>
      </x:c>
      <x:c r="F386" s="11" t="str">
        <x:v>acre-year</x:v>
      </x:c>
      <x:c r="G386" s="51" t="n">
        <x:f>'Basis'!$F$65*K386</x:f>
        <x:v>0.0015778019400647589</x:v>
      </x:c>
      <x:c r="H386" s="52" t="n">
        <x:f>G386*'Basis'!$D$7</x:f>
        <x:v>0.3313384074135994</x:v>
      </x:c>
      <x:c r="I386" s="52" t="n">
        <x:f>H386*'Basis'!$D$8</x:f>
        <x:v>18.554950815161565</x:v>
      </x:c>
      <x:c r="J386" s="2" t="str">
        <x:v>rye</x:v>
      </x:c>
      <x:c r="K386" s="20" t="n">
        <x:v>0.025</x:v>
      </x:c>
      <x:c r="L386" s="11" t="str">
        <x:v>Common-quality enclosed grazing.</x:v>
      </x:c>
    </x:row>
    <x:row r="387" ht="38" customHeight="1">
      <x:c r="C387" s="2" t="str">
        <x:v>woodlot_lease</x:v>
      </x:c>
      <x:c r="D387" s="11" t="str">
        <x:v>Land and premises</x:v>
      </x:c>
      <x:c r="E387" s="11" t="str">
        <x:v>Managed woodlot lease</x:v>
      </x:c>
      <x:c r="F387" s="11" t="str">
        <x:v>acre-year</x:v>
      </x:c>
      <x:c r="G387" s="51" t="n">
        <x:f>'Basis'!$F$65*K387</x:f>
        <x:v>0.0022089227160906628</x:v>
      </x:c>
      <x:c r="H387" s="52" t="n">
        <x:f>G387*'Basis'!$D$7</x:f>
        <x:v>0.4638737703790392</x:v>
      </x:c>
      <x:c r="I387" s="52" t="n">
        <x:f>H387*'Basis'!$D$8</x:f>
        <x:v>25.976931141226196</x:v>
      </x:c>
      <x:c r="J387" s="2" t="str">
        <x:v>rye</x:v>
      </x:c>
      <x:c r="K387" s="20" t="n">
        <x:v>0.035</x:v>
      </x:c>
      <x:c r="L387" s="11" t="str">
        <x:v>Ordinary coppice rights; mature ship timber excluded.</x:v>
      </x:c>
    </x:row>
    <x:row r="388" ht="38" customHeight="1">
      <x:c r="C388" s="2" t="str">
        <x:v>cottage_rent</x:v>
      </x:c>
      <x:c r="D388" s="11" t="str">
        <x:v>Land and premises</x:v>
      </x:c>
      <x:c r="E388" s="11" t="str">
        <x:v>Rural cottage rent</x:v>
      </x:c>
      <x:c r="F388" s="11" t="str">
        <x:v>cottage-year</x:v>
      </x:c>
      <x:c r="G388" s="51" t="n">
        <x:f>'Basis'!$F$70*K388</x:f>
        <x:v>0.17040260952699396</x:v>
      </x:c>
      <x:c r="H388" s="52" t="n">
        <x:f>G388*'Basis'!$D$7</x:f>
        <x:v>35.78454800066873</x:v>
      </x:c>
      <x:c r="I388" s="52" t="n">
        <x:f>H388*'Basis'!$D$8</x:f>
        <x:v>2003.9346880374487</x:v>
      </x:c>
      <x:c r="J388" s="2" t="str">
        <x:v>farmworker</x:v>
      </x:c>
      <x:c r="K388" s="20" t="n">
        <x:v>0.3</x:v>
      </x:c>
      <x:c r="L388" s="11" t="str">
        <x:v>Small existing cottage; occupier supplies fuel and minor repairs.</x:v>
      </x:c>
    </x:row>
    <x:row r="389" ht="38" customHeight="1">
      <x:c r="C389" s="2" t="str">
        <x:v>town_room</x:v>
      </x:c>
      <x:c r="D389" s="11" t="str">
        <x:v>Land and premises</x:v>
      </x:c>
      <x:c r="E389" s="11" t="str">
        <x:v>Town room rent</x:v>
      </x:c>
      <x:c r="F389" s="11" t="str">
        <x:v>room-month</x:v>
      </x:c>
      <x:c r="G389" s="51" t="n">
        <x:f>'Basis'!$F$70*K389</x:f>
        <x:v>0.04544069587386506</x:v>
      </x:c>
      <x:c r="H389" s="52" t="n">
        <x:f>G389*'Basis'!$D$7</x:f>
        <x:v>9.542546133511662</x:v>
      </x:c>
      <x:c r="I389" s="52" t="n">
        <x:f>H389*'Basis'!$D$8</x:f>
        <x:v>534.382583476653</x:v>
      </x:c>
      <x:c r="J389" s="2" t="str">
        <x:v>farmworker</x:v>
      </x:c>
      <x:c r="K389" s="20" t="n">
        <x:v>0.08</x:v>
      </x:c>
      <x:c r="L389" s="11" t="str">
        <x:v>Simple unfurnished room; food and fuel extra.</x:v>
      </x:c>
    </x:row>
    <x:row r="390" ht="38" customHeight="1">
      <x:c r="C390" s="2" t="str">
        <x:v>workshop_rent</x:v>
      </x:c>
      <x:c r="D390" s="11" t="str">
        <x:v>Land and premises</x:v>
      </x:c>
      <x:c r="E390" s="11" t="str">
        <x:v>Town workshop rent</x:v>
      </x:c>
      <x:c r="F390" s="11" t="str">
        <x:v>200 sq ft-year</x:v>
      </x:c>
      <x:c r="G390" s="51" t="n">
        <x:f>'Basis'!$F$88*K390</x:f>
        <x:v>1.7040260952699398</x:v>
      </x:c>
      <x:c r="H390" s="52" t="n">
        <x:f>G390*'Basis'!$D$7</x:f>
        <x:v>357.84548000668735</x:v>
      </x:c>
      <x:c r="I390" s="52" t="n">
        <x:f>H390*'Basis'!$D$8</x:f>
        <x:v>20039.34688037449</x:v>
      </x:c>
      <x:c r="J390" s="2" t="str">
        <x:v>mason</x:v>
      </x:c>
      <x:c r="K390" s="20" t="n">
        <x:v>0.3</x:v>
      </x:c>
      <x:c r="L390" s="11" t="str">
        <x:v>Bare premises; no machinery, staff or tools.</x:v>
      </x:c>
    </x:row>
    <x:row r="391" ht="38" customHeight="1">
      <x:c r="C391" s="2" t="str">
        <x:v>shop_rent</x:v>
      </x:c>
      <x:c r="D391" s="11" t="str">
        <x:v>Land and premises</x:v>
      </x:c>
      <x:c r="E391" s="11" t="str">
        <x:v>Town shop rent</x:v>
      </x:c>
      <x:c r="F391" s="11" t="str">
        <x:v>200 sq ft-year</x:v>
      </x:c>
      <x:c r="G391" s="51" t="n">
        <x:f>'Basis'!$F$88*K391</x:f>
        <x:v>2.272034793693253</x:v>
      </x:c>
      <x:c r="H391" s="52" t="n">
        <x:f>G391*'Basis'!$D$7</x:f>
        <x:v>477.12730667558316</x:v>
      </x:c>
      <x:c r="I391" s="52" t="n">
        <x:f>H391*'Basis'!$D$8</x:f>
        <x:v>26719.129173832658</x:v>
      </x:c>
      <x:c r="J391" s="2" t="str">
        <x:v>mason</x:v>
      </x:c>
      <x:c r="K391" s="20" t="n">
        <x:v>0.4</x:v>
      </x:c>
      <x:c r="L391" s="11" t="str">
        <x:v>Ordinary trading street, not prime frontage.</x:v>
      </x:c>
    </x:row>
    <x:row r="392" ht="38" customHeight="1">
      <x:c r="C392" s="2" t="str">
        <x:v>warehouse_rent</x:v>
      </x:c>
      <x:c r="D392" s="11" t="str">
        <x:v>Land and premises</x:v>
      </x:c>
      <x:c r="E392" s="11" t="str">
        <x:v>Warehouse building lease</x:v>
      </x:c>
      <x:c r="F392" s="11" t="str">
        <x:v>1,000 sq ft-year</x:v>
      </x:c>
      <x:c r="G392" s="51" t="n">
        <x:f>'Basis'!$F$88*K392</x:f>
        <x:v>3.4080521905398795</x:v>
      </x:c>
      <x:c r="H392" s="52" t="n">
        <x:f>G392*'Basis'!$D$7</x:f>
        <x:v>715.6909600133747</x:v>
      </x:c>
      <x:c r="I392" s="52" t="n">
        <x:f>H392*'Basis'!$D$8</x:f>
        <x:v>40078.69376074898</x:v>
      </x:c>
      <x:c r="J392" s="2" t="str">
        <x:v>mason</x:v>
      </x:c>
      <x:c r="K392" s="20" t="n">
        <x:v>0.6</x:v>
      </x:c>
      <x:c r="L392" s="11" t="str">
        <x:v>Whole empty dry building; tenant operates it.</x:v>
      </x:c>
    </x:row>
    <x:row r="393" ht="38" customHeight="1">
      <x:c r="C393" s="2" t="str">
        <x:v>stall_rent</x:v>
      </x:c>
      <x:c r="D393" s="11" t="str">
        <x:v>Land and premises</x:v>
      </x:c>
      <x:c r="E393" s="11" t="str">
        <x:v>Market stall pitch</x:v>
      </x:c>
      <x:c r="F393" s="11" t="str">
        <x:v>stall-day</x:v>
      </x:c>
      <x:c r="G393" s="51" t="n">
        <x:f>'Basis'!$F$71*K393</x:f>
        <x:v>0.00019320023755895008</x:v>
      </x:c>
      <x:c r="H393" s="52" t="n">
        <x:f>G393*'Basis'!$D$7</x:f>
        <x:v>0.040572049887379516</x:v>
      </x:c>
      <x:c r="I393" s="52" t="n">
        <x:f>H393*'Basis'!$D$8</x:f>
        <x:v>2.272034793693253</x:v>
      </x:c>
      <x:c r="J393" s="2" t="str">
        <x:v>harvestday</x:v>
      </x:c>
      <x:c r="K393" s="20" t="n">
        <x:v>0.1</x:v>
      </x:c>
      <x:c r="L393" s="11" t="str">
        <x:v>Space only; commodity tolls extra.</x:v>
      </x:c>
    </x:row>
    <x:row r="394" ht="26" customHeight="1"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</x:row>
    <x:row r="395" ht="26" customHeight="1"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</x:row>
    <x:row r="396" ht="26" customHeight="1"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</x:row>
    <x:row r="397" ht="26" customHeight="1"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</x:row>
    <x:row r="398" ht="26" customHeight="1"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</x:row>
    <x:row r="399" ht="26" customHeight="1"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</x:row>
    <x:row r="400" ht="26" customHeight="1"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</x:row>
  </x:sheetData>
  <x:mergeCells>
    <x:mergeCell ref="C2:J2"/>
    <x:mergeCell ref="C4:J4"/>
  </x:mergeCells>
  <x:pageMargins left="0.7" right="0.7" top="0.75" bottom="0.75" header="0.3" footer="0.3"/>
  <x:tableParts count="1">
    <x:tablePart xmlns:r="http://schemas.openxmlformats.org/officeDocument/2006/relationships" r:id="R2cdd7ebd663d4767"/>
  </x:tableParts>
</x:worksheet>
</file>

<file path=xl/worksheets/sheet2.xml><?xml version="1.0" encoding="utf-8"?>
<x:worksheet xmlns:x="http://schemas.openxmlformats.org/spreadsheetml/2006/main">
  <x:sheetPr>
    <x:tabColor rgb="FF789493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19" hidden="0" customWidth="1"/>
    <x:col min="5" max="5" width="13" hidden="0" customWidth="1"/>
    <x:col min="6" max="6" width="17" hidden="0" customWidth="1"/>
    <x:col min="7" max="7" width="15" hidden="0" customWidth="1"/>
    <x:col min="8" max="8" width="18" hidden="0" customWidth="1"/>
    <x:col min="9" max="9" width="17" hidden="0" customWidth="1"/>
    <x:col min="10" max="10" width="17" hidden="0" customWidth="1"/>
    <x:col min="11" max="11" width="17" hidden="0" customWidth="1"/>
    <x:col min="12" max="12" width="20" hidden="0" customWidth="1"/>
    <x:col min="13" max="13" width="19" hidden="0" customWidth="1"/>
    <x:col min="14" max="14" width="65" hidden="0" customWidth="1"/>
  </x:cols>
  <x:sheetData>
    <x:row r="1" ht="26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8" customHeight="1">
      <x:c r="C2" s="3" t="str">
        <x:v>Wages, board and animal upkeep</x:v>
      </x:c>
      <x:c r="D2" s="3"/>
      <x:c r="E2" s="3"/>
      <x:c r="F2" s="3"/>
      <x:c r="G2" s="3"/>
      <x:c r="H2" s="3"/>
      <x:c r="I2" s="3"/>
      <x:c r="J2" s="3"/>
      <x:c r="K2" s="2"/>
      <x:c r="L2" s="2"/>
      <x:c r="M2" s="2"/>
      <x:c r="N2" s="2"/>
    </x:row>
    <x:row r="3" ht="26" customHeight="1"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46" customHeight="1">
      <x:c r="C4" s="5" t="str">
        <x:v>Cash pay is separate from grain, other food, clothing and lodging consumables. Annual support totals value supplied goods even when paid in kind. Buildings, tools and horses are extra.</x:v>
      </x:c>
      <x:c r="D4" s="5"/>
      <x:c r="E4" s="5"/>
      <x:c r="F4" s="5"/>
      <x:c r="G4" s="5"/>
      <x:c r="H4" s="5"/>
      <x:c r="I4" s="5"/>
      <x:c r="J4" s="5"/>
      <x:c r="K4" s="2"/>
      <x:c r="L4" s="2"/>
      <x:c r="M4" s="2"/>
      <x:c r="N4" s="2"/>
    </x:row>
    <x:row r="5" ht="26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0" customHeight="1">
      <x:c r="C6" s="8" t="str">
        <x:v>Role</x:v>
      </x:c>
      <x:c r="D6" s="8" t="str">
        <x:v>Fiscal anchor</x:v>
      </x:c>
      <x:c r="E6" s="8" t="str">
        <x:v>Pay factor</x:v>
      </x:c>
      <x:c r="F6" s="8" t="str">
        <x:v>Cash / year GD</x:v>
      </x:c>
      <x:c r="G6" s="8" t="str">
        <x:v>Paid days basis</x:v>
      </x:c>
      <x:c r="H6" s="8" t="str">
        <x:v>Cash / paid day GD</x:v>
      </x:c>
      <x:c r="I6" s="8" t="str">
        <x:v>Grain / year GD</x:v>
      </x:c>
      <x:c r="J6" s="8" t="str">
        <x:v>Other food GD</x:v>
      </x:c>
      <x:c r="K6" s="8" t="str">
        <x:v>Clothing GD</x:v>
      </x:c>
      <x:c r="L6" s="8" t="str">
        <x:v>Fuel and bedding GD</x:v>
      </x:c>
      <x:c r="M6" s="8" t="str">
        <x:v>Supported year GD</x:v>
      </x:c>
      <x:c r="N6" s="8" t="str">
        <x:v>Contract scope</x:v>
      </x:c>
    </x:row>
    <x:row r="7" ht="37" customHeight="1">
      <x:c r="C7" s="2" t="str">
        <x:v>Permanent farmworker</x:v>
      </x:c>
      <x:c r="D7" s="2" t="str">
        <x:v>farmworker</x:v>
      </x:c>
      <x:c r="E7" s="9" t="n">
        <x:v>1</x:v>
      </x:c>
      <x:c r="F7" s="51" t="n">
        <x:f>'Basis'!$F$70*E7</x:f>
        <x:v>0.5680086984233133</x:v>
      </x:c>
      <x:c r="G7" s="22" t="n">
        <x:v>300</x:v>
      </x:c>
      <x:c r="H7" s="17" t="n">
        <x:f>F7/G7</x:f>
        <x:v>0.0018933623280777108</x:v>
      </x:c>
      <x:c r="I7" s="51" t="n">
        <x:f>'Wages and Rations'!$G$66</x:f>
        <x:v>0.07339033024072651</x:v>
      </x:c>
      <x:c r="J7" s="51" t="n">
        <x:f>'Basis'!$F$84</x:f>
        <x:v>0.3786724656155422</x:v>
      </x:c>
      <x:c r="K7" s="51" t="n">
        <x:f>'Basis'!$F$85</x:f>
        <x:v>0.1893362328077711</x:v>
      </x:c>
      <x:c r="L7" s="51" t="n">
        <x:f>SUM('Wages and Rations'!$G$62,'Wages and Rations'!$G$63,'Wages and Rations'!$G$64)</x:f>
        <x:v>0.05396082635021476</x:v>
      </x:c>
      <x:c r="M7" s="17" t="n">
        <x:f>SUM(F7,I7:L7)</x:f>
        <x:v>1.2633685534375678</x:v>
      </x:c>
      <x:c r="N7" s="11" t="str">
        <x:v>Existing annual cash pay; board columns value additional support.</x:v>
      </x:c>
    </x:row>
    <x:row r="8" ht="37" customHeight="1">
      <x:c r="C8" s="12" t="str">
        <x:v>Unskilled day labourer</x:v>
      </x:c>
      <x:c r="D8" s="12" t="str">
        <x:v>harvestday</x:v>
      </x:c>
      <x:c r="E8" s="57" t="n">
        <x:v>300</x:v>
      </x:c>
      <x:c r="F8" s="58" t="n">
        <x:f>'Basis'!$F$71*E8</x:f>
        <x:v>0.5796007126768502</x:v>
      </x:c>
      <x:c r="G8" s="59" t="n">
        <x:v>300</x:v>
      </x:c>
      <x:c r="H8" s="60" t="n">
        <x:f>F8/G8</x:f>
        <x:v>0.0019320023755895006</x:v>
      </x:c>
      <x:c r="I8" s="58" t="n">
        <x:f>'Wages and Rations'!$G$66</x:f>
        <x:v>0.07339033024072651</x:v>
      </x:c>
      <x:c r="J8" s="58" t="n">
        <x:f>'Basis'!$F$84</x:f>
        <x:v>0.3786724656155422</x:v>
      </x:c>
      <x:c r="K8" s="58" t="n">
        <x:f>'Basis'!$F$85</x:f>
        <x:v>0.1893362328077711</x:v>
      </x:c>
      <x:c r="L8" s="58" t="n">
        <x:f>SUM('Wages and Rations'!$G$62,'Wages and Rations'!$G$63,'Wages and Rations'!$G$64)</x:f>
        <x:v>0.05396082635021476</x:v>
      </x:c>
      <x:c r="M8" s="60" t="n">
        <x:f>SUM(F8,I8:L8)</x:f>
        <x:v>1.2749605676911049</x:v>
      </x:c>
      <x:c r="N8" s="61" t="str">
        <x:v>300-day cash equivalent; hire only the days required.</x:v>
      </x:c>
    </x:row>
    <x:row r="9" ht="37" customHeight="1">
      <x:c r="C9" s="2" t="str">
        <x:v>Porter or teamster</x:v>
      </x:c>
      <x:c r="D9" s="2" t="str">
        <x:v>farmworker</x:v>
      </x:c>
      <x:c r="E9" s="9" t="n">
        <x:v>1.5</x:v>
      </x:c>
      <x:c r="F9" s="51" t="n">
        <x:f>'Basis'!$F$70*E9</x:f>
        <x:v>0.8520130476349699</x:v>
      </x:c>
      <x:c r="G9" s="22" t="n">
        <x:v>300</x:v>
      </x:c>
      <x:c r="H9" s="17" t="n">
        <x:f>F9/G9</x:f>
        <x:v>0.0028400434921165662</x:v>
      </x:c>
      <x:c r="I9" s="51" t="n">
        <x:f>'Wages and Rations'!$G$66</x:f>
        <x:v>0.07339033024072651</x:v>
      </x:c>
      <x:c r="J9" s="51" t="n">
        <x:f>'Basis'!$F$84</x:f>
        <x:v>0.3786724656155422</x:v>
      </x:c>
      <x:c r="K9" s="51" t="n">
        <x:f>'Basis'!$F$85</x:f>
        <x:v>0.1893362328077711</x:v>
      </x:c>
      <x:c r="L9" s="51" t="n">
        <x:f>SUM('Wages and Rations'!$G$62,'Wages and Rations'!$G$63,'Wages and Rations'!$G$64)</x:f>
        <x:v>0.05396082635021476</x:v>
      </x:c>
      <x:c r="M9" s="17" t="n">
        <x:f>SUM(F9,I9:L9)</x:f>
        <x:v>1.5473729026492244</x:v>
      </x:c>
      <x:c r="N9" s="11" t="str">
        <x:v>Ordinary full working year; team and wagon extra.</x:v>
      </x:c>
    </x:row>
    <x:row r="10" ht="37" customHeight="1">
      <x:c r="C10" s="12" t="str">
        <x:v>Woodcutter</x:v>
      </x:c>
      <x:c r="D10" s="12" t="str">
        <x:v>farmworker</x:v>
      </x:c>
      <x:c r="E10" s="57" t="n">
        <x:v>1.8</x:v>
      </x:c>
      <x:c r="F10" s="58" t="n">
        <x:f>'Basis'!$F$70*E10</x:f>
        <x:v>1.0224156571619638</x:v>
      </x:c>
      <x:c r="G10" s="59" t="n">
        <x:v>300</x:v>
      </x:c>
      <x:c r="H10" s="60" t="n">
        <x:f>F10/G10</x:f>
        <x:v>0.0034080521905398794</x:v>
      </x:c>
      <x:c r="I10" s="58" t="n">
        <x:f>'Wages and Rations'!$G$66</x:f>
        <x:v>0.07339033024072651</x:v>
      </x:c>
      <x:c r="J10" s="58" t="n">
        <x:f>'Basis'!$F$84</x:f>
        <x:v>0.3786724656155422</x:v>
      </x:c>
      <x:c r="K10" s="58" t="n">
        <x:f>'Basis'!$F$85</x:f>
        <x:v>0.1893362328077711</x:v>
      </x:c>
      <x:c r="L10" s="58" t="n">
        <x:f>SUM('Wages and Rations'!$G$62,'Wages and Rations'!$G$63,'Wages and Rations'!$G$64)</x:f>
        <x:v>0.05396082635021476</x:v>
      </x:c>
      <x:c r="M10" s="60" t="n">
        <x:f>SUM(F10,I10:L10)</x:f>
        <x:v>1.7177755121762184</x:v>
      </x:c>
      <x:c r="N10" s="61" t="str">
        <x:v>Tools owned by employer in support calculation.</x:v>
      </x:c>
    </x:row>
    <x:row r="11" ht="37" customHeight="1">
      <x:c r="C11" s="2" t="str">
        <x:v>Herdsman or shepherd</x:v>
      </x:c>
      <x:c r="D11" s="2" t="str">
        <x:v>farmworker</x:v>
      </x:c>
      <x:c r="E11" s="9" t="n">
        <x:v>1.6</x:v>
      </x:c>
      <x:c r="F11" s="51" t="n">
        <x:f>'Basis'!$F$70*E11</x:f>
        <x:v>0.9088139174773012</x:v>
      </x:c>
      <x:c r="G11" s="22" t="n">
        <x:v>365</x:v>
      </x:c>
      <x:c r="H11" s="17" t="n">
        <x:f>F11/G11</x:f>
        <x:v>0.002489901143773428</x:v>
      </x:c>
      <x:c r="I11" s="51" t="n">
        <x:f>'Wages and Rations'!$G$66</x:f>
        <x:v>0.07339033024072651</x:v>
      </x:c>
      <x:c r="J11" s="51" t="n">
        <x:f>'Basis'!$F$84</x:f>
        <x:v>0.3786724656155422</x:v>
      </x:c>
      <x:c r="K11" s="51" t="n">
        <x:f>'Basis'!$F$85</x:f>
        <x:v>0.1893362328077711</x:v>
      </x:c>
      <x:c r="L11" s="51" t="n">
        <x:f>SUM('Wages and Rations'!$G$62,'Wages and Rations'!$G$63,'Wages and Rations'!$G$64)</x:f>
        <x:v>0.05396082635021476</x:v>
      </x:c>
      <x:c r="M11" s="17" t="n">
        <x:f>SUM(F11,I11:L11)</x:f>
        <x:v>1.604173772491556</x:v>
      </x:c>
      <x:c r="N11" s="11" t="str">
        <x:v>Annual rural service.</x:v>
      </x:c>
    </x:row>
    <x:row r="12" ht="37" customHeight="1">
      <x:c r="C12" s="12" t="str">
        <x:v>Fishing hand</x:v>
      </x:c>
      <x:c r="D12" s="12" t="str">
        <x:v>farmworker</x:v>
      </x:c>
      <x:c r="E12" s="57" t="n">
        <x:v>2.4</x:v>
      </x:c>
      <x:c r="F12" s="58" t="n">
        <x:f>'Basis'!$F$70*E12</x:f>
        <x:v>1.3632208762159517</x:v>
      </x:c>
      <x:c r="G12" s="59" t="n">
        <x:v>300</x:v>
      </x:c>
      <x:c r="H12" s="60" t="n">
        <x:f>F12/G12</x:f>
        <x:v>0.004544069587386505</x:v>
      </x:c>
      <x:c r="I12" s="58" t="n">
        <x:f>'Wages and Rations'!$G$66</x:f>
        <x:v>0.07339033024072651</x:v>
      </x:c>
      <x:c r="J12" s="58" t="n">
        <x:f>'Basis'!$F$84</x:f>
        <x:v>0.3786724656155422</x:v>
      </x:c>
      <x:c r="K12" s="58" t="n">
        <x:f>'Basis'!$F$85</x:f>
        <x:v>0.1893362328077711</x:v>
      </x:c>
      <x:c r="L12" s="58" t="n">
        <x:f>SUM('Wages and Rations'!$G$62,'Wages and Rations'!$G$63,'Wages and Rations'!$G$64)</x:f>
        <x:v>0.05396082635021476</x:v>
      </x:c>
      <x:c r="M12" s="60" t="n">
        <x:f>SUM(F12,I12:L12)</x:f>
        <x:v>2.0585807312302062</x:v>
      </x:c>
      <x:c r="N12" s="61" t="str">
        <x:v>Wage contract; no catch-sharing assumption.</x:v>
      </x:c>
    </x:row>
    <x:row r="13" ht="37" customHeight="1">
      <x:c r="C13" s="2" t="str">
        <x:v>Domestic servant</x:v>
      </x:c>
      <x:c r="D13" s="2" t="str">
        <x:v>servant</x:v>
      </x:c>
      <x:c r="E13" s="9" t="n">
        <x:v>1</x:v>
      </x:c>
      <x:c r="F13" s="51" t="n">
        <x:f>'Basis'!$F$81*E13</x:f>
        <x:v>1.1360173968466265</x:v>
      </x:c>
      <x:c r="G13" s="22" t="n">
        <x:v>365</x:v>
      </x:c>
      <x:c r="H13" s="17" t="n">
        <x:f>F13/G13</x:f>
        <x:v>0.0031123764297167848</x:v>
      </x:c>
      <x:c r="I13" s="51" t="n">
        <x:f>'Wages and Rations'!$G$66</x:f>
        <x:v>0.07339033024072651</x:v>
      </x:c>
      <x:c r="J13" s="51" t="n">
        <x:f>'Basis'!$F$84</x:f>
        <x:v>0.3786724656155422</x:v>
      </x:c>
      <x:c r="K13" s="51" t="n">
        <x:f>'Basis'!$F$85</x:f>
        <x:v>0.1893362328077711</x:v>
      </x:c>
      <x:c r="L13" s="51" t="n">
        <x:f>SUM('Wages and Rations'!$G$62,'Wages and Rations'!$G$63,'Wages and Rations'!$G$64)</x:f>
        <x:v>0.05396082635021476</x:v>
      </x:c>
      <x:c r="M13" s="17" t="n">
        <x:f>SUM(F13,I13:L13)</x:f>
        <x:v>1.831377251860881</x:v>
      </x:c>
      <x:c r="N13" s="11" t="str">
        <x:v>Existing annual cash pay.</x:v>
      </x:c>
    </x:row>
    <x:row r="14" ht="37" customHeight="1">
      <x:c r="C14" s="12" t="str">
        <x:v>Household cook</x:v>
      </x:c>
      <x:c r="D14" s="12" t="str">
        <x:v>servant</x:v>
      </x:c>
      <x:c r="E14" s="57" t="n">
        <x:v>1.6</x:v>
      </x:c>
      <x:c r="F14" s="58" t="n">
        <x:f>'Basis'!$F$81*E14</x:f>
        <x:v>1.8176278349546025</x:v>
      </x:c>
      <x:c r="G14" s="59" t="n">
        <x:v>365</x:v>
      </x:c>
      <x:c r="H14" s="60" t="n">
        <x:f>F14/G14</x:f>
        <x:v>0.004979802287546856</x:v>
      </x:c>
      <x:c r="I14" s="58" t="n">
        <x:f>'Wages and Rations'!$G$66</x:f>
        <x:v>0.07339033024072651</x:v>
      </x:c>
      <x:c r="J14" s="58" t="n">
        <x:f>'Basis'!$F$84</x:f>
        <x:v>0.3786724656155422</x:v>
      </x:c>
      <x:c r="K14" s="58" t="n">
        <x:f>'Basis'!$F$85</x:f>
        <x:v>0.1893362328077711</x:v>
      </x:c>
      <x:c r="L14" s="58" t="n">
        <x:f>SUM('Wages and Rations'!$G$62,'Wages and Rations'!$G$63,'Wages and Rations'!$G$64)</x:f>
        <x:v>0.05396082635021476</x:v>
      </x:c>
      <x:c r="M14" s="60" t="n">
        <x:f>SUM(F14,I14:L14)</x:f>
        <x:v>2.512987689968857</x:v>
      </x:c>
      <x:c r="N14" s="61" t="str">
        <x:v>Ordinary experienced cook.</x:v>
      </x:c>
    </x:row>
    <x:row r="15" ht="37" customHeight="1">
      <x:c r="C15" s="2" t="str">
        <x:v>Stable groom</x:v>
      </x:c>
      <x:c r="D15" s="2" t="str">
        <x:v>servant</x:v>
      </x:c>
      <x:c r="E15" s="9" t="n">
        <x:v>1.2</x:v>
      </x:c>
      <x:c r="F15" s="51" t="n">
        <x:f>'Basis'!$F$81*E15</x:f>
        <x:v>1.3632208762159517</x:v>
      </x:c>
      <x:c r="G15" s="22" t="n">
        <x:v>365</x:v>
      </x:c>
      <x:c r="H15" s="17" t="n">
        <x:f>F15/G15</x:f>
        <x:v>0.0037348517156601414</x:v>
      </x:c>
      <x:c r="I15" s="51" t="n">
        <x:f>'Wages and Rations'!$G$66</x:f>
        <x:v>0.07339033024072651</x:v>
      </x:c>
      <x:c r="J15" s="51" t="n">
        <x:f>'Basis'!$F$84</x:f>
        <x:v>0.3786724656155422</x:v>
      </x:c>
      <x:c r="K15" s="51" t="n">
        <x:f>'Basis'!$F$85</x:f>
        <x:v>0.1893362328077711</x:v>
      </x:c>
      <x:c r="L15" s="51" t="n">
        <x:f>SUM('Wages and Rations'!$G$62,'Wages and Rations'!$G$63,'Wages and Rations'!$G$64)</x:f>
        <x:v>0.05396082635021476</x:v>
      </x:c>
      <x:c r="M15" s="17" t="n">
        <x:f>SUM(F15,I15:L15)</x:f>
        <x:v>2.0585807312302062</x:v>
      </x:c>
      <x:c r="N15" s="11" t="str">
        <x:v>Horse supplies extra.</x:v>
      </x:c>
    </x:row>
    <x:row r="16" ht="37" customHeight="1">
      <x:c r="C16" s="12" t="str">
        <x:v>Estate bailiff</x:v>
      </x:c>
      <x:c r="D16" s="12" t="str">
        <x:v>estateclerk</x:v>
      </x:c>
      <x:c r="E16" s="57" t="n">
        <x:v>1</x:v>
      </x:c>
      <x:c r="F16" s="58" t="n">
        <x:f>'Basis'!$F$77*E16</x:f>
        <x:v>3.7867246561554215</x:v>
      </x:c>
      <x:c r="G16" s="59" t="n">
        <x:v>365</x:v>
      </x:c>
      <x:c r="H16" s="60" t="n">
        <x:f>F16/G16</x:f>
        <x:v>0.01037458809905595</x:v>
      </x:c>
      <x:c r="I16" s="58" t="n">
        <x:f>'Wages and Rations'!$G$66</x:f>
        <x:v>0.07339033024072651</x:v>
      </x:c>
      <x:c r="J16" s="58" t="n">
        <x:f>'Basis'!$F$84</x:f>
        <x:v>0.3786724656155422</x:v>
      </x:c>
      <x:c r="K16" s="58" t="n">
        <x:f>'Basis'!$F$85</x:f>
        <x:v>0.1893362328077711</x:v>
      </x:c>
      <x:c r="L16" s="58" t="n">
        <x:f>SUM('Wages and Rations'!$G$62,'Wages and Rations'!$G$63,'Wages and Rations'!$G$64)</x:f>
        <x:v>0.05396082635021476</x:v>
      </x:c>
      <x:c r="M16" s="60" t="n">
        <x:f>SUM(F16,I16:L16)</x:f>
        <x:v>4.482084511169676</x:v>
      </x:c>
      <x:c r="N16" s="61" t="str">
        <x:v>Working estate officer.</x:v>
      </x:c>
    </x:row>
    <x:row r="17" ht="37" customHeight="1">
      <x:c r="C17" s="2" t="str">
        <x:v>Estate receiver or tally clerk</x:v>
      </x:c>
      <x:c r="D17" s="2" t="str">
        <x:v>estateclerk</x:v>
      </x:c>
      <x:c r="E17" s="9" t="n">
        <x:v>1</x:v>
      </x:c>
      <x:c r="F17" s="51" t="n">
        <x:f>'Basis'!$F$77*E17</x:f>
        <x:v>3.7867246561554215</x:v>
      </x:c>
      <x:c r="G17" s="22" t="n">
        <x:v>365</x:v>
      </x:c>
      <x:c r="H17" s="17" t="n">
        <x:f>F17/G17</x:f>
        <x:v>0.01037458809905595</x:v>
      </x:c>
      <x:c r="I17" s="51" t="n">
        <x:f>'Wages and Rations'!$G$66</x:f>
        <x:v>0.07339033024072651</x:v>
      </x:c>
      <x:c r="J17" s="51" t="n">
        <x:f>'Basis'!$F$84</x:f>
        <x:v>0.3786724656155422</x:v>
      </x:c>
      <x:c r="K17" s="51" t="n">
        <x:f>'Basis'!$F$85</x:f>
        <x:v>0.1893362328077711</x:v>
      </x:c>
      <x:c r="L17" s="51" t="n">
        <x:f>SUM('Wages and Rations'!$G$62,'Wages and Rations'!$G$63,'Wages and Rations'!$G$64)</x:f>
        <x:v>0.05396082635021476</x:v>
      </x:c>
      <x:c r="M17" s="17" t="n">
        <x:f>SUM(F17,I17:L17)</x:f>
        <x:v>4.482084511169676</x:v>
      </x:c>
      <x:c r="N17" s="11" t="str">
        <x:v>Existing annual cash pay.</x:v>
      </x:c>
    </x:row>
    <x:row r="18" ht="37" customHeight="1">
      <x:c r="C18" s="12" t="str">
        <x:v>Account clerk</x:v>
      </x:c>
      <x:c r="D18" s="12" t="str">
        <x:v>clerk</x:v>
      </x:c>
      <x:c r="E18" s="57" t="n">
        <x:v>1</x:v>
      </x:c>
      <x:c r="F18" s="58" t="n">
        <x:f>'Basis'!$F$82*E18</x:f>
        <x:v>5.6800869842331325</x:v>
      </x:c>
      <x:c r="G18" s="59" t="n">
        <x:v>365</x:v>
      </x:c>
      <x:c r="H18" s="60" t="n">
        <x:f>F18/G18</x:f>
        <x:v>0.015561882148583926</x:v>
      </x:c>
      <x:c r="I18" s="58" t="n">
        <x:f>'Wages and Rations'!$G$66</x:f>
        <x:v>0.07339033024072651</x:v>
      </x:c>
      <x:c r="J18" s="58" t="n">
        <x:f>'Basis'!$F$84</x:f>
        <x:v>0.3786724656155422</x:v>
      </x:c>
      <x:c r="K18" s="58" t="n">
        <x:f>'Basis'!$F$85</x:f>
        <x:v>0.1893362328077711</x:v>
      </x:c>
      <x:c r="L18" s="58" t="n">
        <x:f>SUM('Wages and Rations'!$G$62,'Wages and Rations'!$G$63,'Wages and Rations'!$G$64)</x:f>
        <x:v>0.05396082635021476</x:v>
      </x:c>
      <x:c r="M18" s="60" t="n">
        <x:f>SUM(F18,I18:L18)</x:f>
        <x:v>6.375446839247387</x:v>
      </x:c>
      <x:c r="N18" s="61" t="str">
        <x:v>Existing annual cash pay.</x:v>
      </x:c>
    </x:row>
    <x:row r="19" ht="37" customHeight="1">
      <x:c r="C19" s="2" t="str">
        <x:v>Scribe</x:v>
      </x:c>
      <x:c r="D19" s="2" t="str">
        <x:v>clerk</x:v>
      </x:c>
      <x:c r="E19" s="9" t="n">
        <x:v>0.85</x:v>
      </x:c>
      <x:c r="F19" s="51" t="n">
        <x:f>'Basis'!$F$82*E19</x:f>
        <x:v>4.828073936598162</x:v>
      </x:c>
      <x:c r="G19" s="22" t="n">
        <x:v>300</x:v>
      </x:c>
      <x:c r="H19" s="17" t="n">
        <x:f>F19/G19</x:f>
        <x:v>0.01609357978866054</x:v>
      </x:c>
      <x:c r="I19" s="51" t="n">
        <x:f>'Wages and Rations'!$G$66</x:f>
        <x:v>0.07339033024072651</x:v>
      </x:c>
      <x:c r="J19" s="51" t="n">
        <x:f>'Basis'!$F$84</x:f>
        <x:v>0.3786724656155422</x:v>
      </x:c>
      <x:c r="K19" s="51" t="n">
        <x:f>'Basis'!$F$85</x:f>
        <x:v>0.1893362328077711</x:v>
      </x:c>
      <x:c r="L19" s="51" t="n">
        <x:f>SUM('Wages and Rations'!$G$62,'Wages and Rations'!$G$63,'Wages and Rations'!$G$64)</x:f>
        <x:v>0.05396082635021476</x:v>
      </x:c>
      <x:c r="M19" s="17" t="n">
        <x:f>SUM(F19,I19:L19)</x:f>
        <x:v>5.523433791612417</x:v>
      </x:c>
      <x:c r="N19" s="11" t="str">
        <x:v>Writing materials extra.</x:v>
      </x:c>
    </x:row>
    <x:row r="20" ht="37" customHeight="1">
      <x:c r="C20" s="12" t="str">
        <x:v>Carpenter</x:v>
      </x:c>
      <x:c r="D20" s="12" t="str">
        <x:v>mason</x:v>
      </x:c>
      <x:c r="E20" s="57" t="n">
        <x:v>1</x:v>
      </x:c>
      <x:c r="F20" s="58" t="n">
        <x:f>'Basis'!$F$88*E20</x:f>
        <x:v>5.6800869842331325</x:v>
      </x:c>
      <x:c r="G20" s="59" t="n">
        <x:v>300</x:v>
      </x:c>
      <x:c r="H20" s="60" t="n">
        <x:f>F20/G20</x:f>
        <x:v>0.01893362328077711</x:v>
      </x:c>
      <x:c r="I20" s="58" t="n">
        <x:f>'Wages and Rations'!$G$66</x:f>
        <x:v>0.07339033024072651</x:v>
      </x:c>
      <x:c r="J20" s="58" t="n">
        <x:f>'Basis'!$F$84</x:f>
        <x:v>0.3786724656155422</x:v>
      </x:c>
      <x:c r="K20" s="58" t="n">
        <x:f>'Basis'!$F$85</x:f>
        <x:v>0.1893362328077711</x:v>
      </x:c>
      <x:c r="L20" s="58" t="n">
        <x:f>SUM('Wages and Rations'!$G$62,'Wages and Rations'!$G$63,'Wages and Rations'!$G$64)</x:f>
        <x:v>0.05396082635021476</x:v>
      </x:c>
      <x:c r="M20" s="60" t="n">
        <x:f>SUM(F20,I20:L20)</x:f>
        <x:v>6.375446839247387</x:v>
      </x:c>
      <x:c r="N20" s="61" t="str">
        <x:v>Existing craft-year cash pay.</x:v>
      </x:c>
    </x:row>
    <x:row r="21" ht="37" customHeight="1">
      <x:c r="C21" s="2" t="str">
        <x:v>Mason</x:v>
      </x:c>
      <x:c r="D21" s="2" t="str">
        <x:v>mason</x:v>
      </x:c>
      <x:c r="E21" s="9" t="n">
        <x:v>1</x:v>
      </x:c>
      <x:c r="F21" s="51" t="n">
        <x:f>'Basis'!$F$88*E21</x:f>
        <x:v>5.6800869842331325</x:v>
      </x:c>
      <x:c r="G21" s="22" t="n">
        <x:v>300</x:v>
      </x:c>
      <x:c r="H21" s="17" t="n">
        <x:f>F21/G21</x:f>
        <x:v>0.01893362328077711</x:v>
      </x:c>
      <x:c r="I21" s="51" t="n">
        <x:f>'Wages and Rations'!$G$66</x:f>
        <x:v>0.07339033024072651</x:v>
      </x:c>
      <x:c r="J21" s="51" t="n">
        <x:f>'Basis'!$F$84</x:f>
        <x:v>0.3786724656155422</x:v>
      </x:c>
      <x:c r="K21" s="51" t="n">
        <x:f>'Basis'!$F$85</x:f>
        <x:v>0.1893362328077711</x:v>
      </x:c>
      <x:c r="L21" s="51" t="n">
        <x:f>SUM('Wages and Rations'!$G$62,'Wages and Rations'!$G$63,'Wages and Rations'!$G$64)</x:f>
        <x:v>0.05396082635021476</x:v>
      </x:c>
      <x:c r="M21" s="17" t="n">
        <x:f>SUM(F21,I21:L21)</x:f>
        <x:v>6.375446839247387</x:v>
      </x:c>
      <x:c r="N21" s="11" t="str">
        <x:v>Existing craft-year cash pay.</x:v>
      </x:c>
    </x:row>
    <x:row r="22" ht="37" customHeight="1">
      <x:c r="C22" s="12" t="str">
        <x:v>Blacksmith</x:v>
      </x:c>
      <x:c r="D22" s="12" t="str">
        <x:v>mason</x:v>
      </x:c>
      <x:c r="E22" s="57" t="n">
        <x:v>1.2</x:v>
      </x:c>
      <x:c r="F22" s="58" t="n">
        <x:f>'Basis'!$F$88*E22</x:f>
        <x:v>6.816104381079759</x:v>
      </x:c>
      <x:c r="G22" s="59" t="n">
        <x:v>300</x:v>
      </x:c>
      <x:c r="H22" s="60" t="n">
        <x:f>F22/G22</x:f>
        <x:v>0.02272034793693253</x:v>
      </x:c>
      <x:c r="I22" s="58" t="n">
        <x:f>'Wages and Rations'!$G$66</x:f>
        <x:v>0.07339033024072651</x:v>
      </x:c>
      <x:c r="J22" s="58" t="n">
        <x:f>'Basis'!$F$84</x:f>
        <x:v>0.3786724656155422</x:v>
      </x:c>
      <x:c r="K22" s="58" t="n">
        <x:f>'Basis'!$F$85</x:f>
        <x:v>0.1893362328077711</x:v>
      </x:c>
      <x:c r="L22" s="58" t="n">
        <x:f>SUM('Wages and Rations'!$G$62,'Wages and Rations'!$G$63,'Wages and Rations'!$G$64)</x:f>
        <x:v>0.05396082635021476</x:v>
      </x:c>
      <x:c r="M22" s="60" t="n">
        <x:f>SUM(F22,I22:L22)</x:f>
        <x:v>7.511464236094014</x:v>
      </x:c>
      <x:c r="N22" s="61" t="str">
        <x:v>Forge, fuel and materials extra.</x:v>
      </x:c>
    </x:row>
    <x:row r="23" ht="37" customHeight="1">
      <x:c r="C23" s="2" t="str">
        <x:v>Armourer</x:v>
      </x:c>
      <x:c r="D23" s="2" t="str">
        <x:v>mason</x:v>
      </x:c>
      <x:c r="E23" s="9" t="n">
        <x:v>1.7</x:v>
      </x:c>
      <x:c r="F23" s="51" t="n">
        <x:f>'Basis'!$F$88*E23</x:f>
        <x:v>9.656147873196325</x:v>
      </x:c>
      <x:c r="G23" s="22" t="n">
        <x:v>300</x:v>
      </x:c>
      <x:c r="H23" s="17" t="n">
        <x:f>F23/G23</x:f>
        <x:v>0.03218715957732108</x:v>
      </x:c>
      <x:c r="I23" s="51" t="n">
        <x:f>'Wages and Rations'!$G$66</x:f>
        <x:v>0.07339033024072651</x:v>
      </x:c>
      <x:c r="J23" s="51" t="n">
        <x:f>'Basis'!$F$84</x:f>
        <x:v>0.3786724656155422</x:v>
      </x:c>
      <x:c r="K23" s="51" t="n">
        <x:f>'Basis'!$F$85</x:f>
        <x:v>0.1893362328077711</x:v>
      </x:c>
      <x:c r="L23" s="51" t="n">
        <x:f>SUM('Wages and Rations'!$G$62,'Wages and Rations'!$G$63,'Wages and Rations'!$G$64)</x:f>
        <x:v>0.05396082635021476</x:v>
      </x:c>
      <x:c r="M23" s="17" t="n">
        <x:f>SUM(F23,I23:L23)</x:f>
        <x:v>10.35150772821058</x:v>
      </x:c>
      <x:c r="N23" s="11" t="str">
        <x:v>Specialist; workshop and materials extra.</x:v>
      </x:c>
    </x:row>
    <x:row r="24" ht="37" customHeight="1">
      <x:c r="C24" s="12" t="str">
        <x:v>Shipwright</x:v>
      </x:c>
      <x:c r="D24" s="12" t="str">
        <x:v>mason</x:v>
      </x:c>
      <x:c r="E24" s="57" t="n">
        <x:v>1.4</x:v>
      </x:c>
      <x:c r="F24" s="58" t="n">
        <x:f>'Basis'!$F$88*E24</x:f>
        <x:v>7.952121777926385</x:v>
      </x:c>
      <x:c r="G24" s="59" t="n">
        <x:v>300</x:v>
      </x:c>
      <x:c r="H24" s="60" t="n">
        <x:f>F24/G24</x:f>
        <x:v>0.02650707259308795</x:v>
      </x:c>
      <x:c r="I24" s="58" t="n">
        <x:f>'Wages and Rations'!$G$66</x:f>
        <x:v>0.07339033024072651</x:v>
      </x:c>
      <x:c r="J24" s="58" t="n">
        <x:f>'Basis'!$F$84</x:f>
        <x:v>0.3786724656155422</x:v>
      </x:c>
      <x:c r="K24" s="58" t="n">
        <x:f>'Basis'!$F$85</x:f>
        <x:v>0.1893362328077711</x:v>
      </x:c>
      <x:c r="L24" s="58" t="n">
        <x:f>SUM('Wages and Rations'!$G$62,'Wages and Rations'!$G$63,'Wages and Rations'!$G$64)</x:f>
        <x:v>0.05396082635021476</x:v>
      </x:c>
      <x:c r="M24" s="60" t="n">
        <x:f>SUM(F24,I24:L24)</x:f>
        <x:v>8.64748163294064</x:v>
      </x:c>
      <x:c r="N24" s="61" t="str">
        <x:v>Yard and materials extra.</x:v>
      </x:c>
    </x:row>
    <x:row r="25" ht="37" customHeight="1">
      <x:c r="C25" s="2" t="str">
        <x:v>Cooper</x:v>
      </x:c>
      <x:c r="D25" s="2" t="str">
        <x:v>mason</x:v>
      </x:c>
      <x:c r="E25" s="9" t="n">
        <x:v>0.8</x:v>
      </x:c>
      <x:c r="F25" s="51" t="n">
        <x:f>'Basis'!$F$88*E25</x:f>
        <x:v>4.544069587386506</x:v>
      </x:c>
      <x:c r="G25" s="22" t="n">
        <x:v>300</x:v>
      </x:c>
      <x:c r="H25" s="17" t="n">
        <x:f>F25/G25</x:f>
        <x:v>0.015146898624621687</x:v>
      </x:c>
      <x:c r="I25" s="51" t="n">
        <x:f>'Wages and Rations'!$G$66</x:f>
        <x:v>0.07339033024072651</x:v>
      </x:c>
      <x:c r="J25" s="51" t="n">
        <x:f>'Basis'!$F$84</x:f>
        <x:v>0.3786724656155422</x:v>
      </x:c>
      <x:c r="K25" s="51" t="n">
        <x:f>'Basis'!$F$85</x:f>
        <x:v>0.1893362328077711</x:v>
      </x:c>
      <x:c r="L25" s="51" t="n">
        <x:f>SUM('Wages and Rations'!$G$62,'Wages and Rations'!$G$63,'Wages and Rations'!$G$64)</x:f>
        <x:v>0.05396082635021476</x:v>
      </x:c>
      <x:c r="M25" s="17" t="n">
        <x:f>SUM(F25,I25:L25)</x:f>
        <x:v>5.239429442400761</x:v>
      </x:c>
      <x:c r="N25" s="11" t="str">
        <x:v>Timber, hoops and workshop extra.</x:v>
      </x:c>
    </x:row>
    <x:row r="26" ht="37" customHeight="1">
      <x:c r="C26" s="12" t="str">
        <x:v>Weaver</x:v>
      </x:c>
      <x:c r="D26" s="12" t="str">
        <x:v>mason</x:v>
      </x:c>
      <x:c r="E26" s="57" t="n">
        <x:v>0.65</x:v>
      </x:c>
      <x:c r="F26" s="58" t="n">
        <x:f>'Basis'!$F$88*E26</x:f>
        <x:v>3.6920565397515364</x:v>
      </x:c>
      <x:c r="G26" s="59" t="n">
        <x:v>300</x:v>
      </x:c>
      <x:c r="H26" s="60" t="n">
        <x:f>F26/G26</x:f>
        <x:v>0.012306855132505122</x:v>
      </x:c>
      <x:c r="I26" s="58" t="n">
        <x:f>'Wages and Rations'!$G$66</x:f>
        <x:v>0.07339033024072651</x:v>
      </x:c>
      <x:c r="J26" s="58" t="n">
        <x:f>'Basis'!$F$84</x:f>
        <x:v>0.3786724656155422</x:v>
      </x:c>
      <x:c r="K26" s="58" t="n">
        <x:f>'Basis'!$F$85</x:f>
        <x:v>0.1893362328077711</x:v>
      </x:c>
      <x:c r="L26" s="58" t="n">
        <x:f>SUM('Wages and Rations'!$G$62,'Wages and Rations'!$G$63,'Wages and Rations'!$G$64)</x:f>
        <x:v>0.05396082635021476</x:v>
      </x:c>
      <x:c r="M26" s="60" t="n">
        <x:f>SUM(F26,I26:L26)</x:f>
        <x:v>4.387416394765791</x:v>
      </x:c>
      <x:c r="N26" s="61" t="str">
        <x:v>Loom and fibre extra.</x:v>
      </x:c>
    </x:row>
    <x:row r="27" ht="37" customHeight="1">
      <x:c r="C27" s="2" t="str">
        <x:v>Tailor</x:v>
      </x:c>
      <x:c r="D27" s="2" t="str">
        <x:v>mason</x:v>
      </x:c>
      <x:c r="E27" s="9" t="n">
        <x:v>0.7</x:v>
      </x:c>
      <x:c r="F27" s="51" t="n">
        <x:f>'Basis'!$F$88*E27</x:f>
        <x:v>3.9760608889631923</x:v>
      </x:c>
      <x:c r="G27" s="22" t="n">
        <x:v>300</x:v>
      </x:c>
      <x:c r="H27" s="17" t="n">
        <x:f>F27/G27</x:f>
        <x:v>0.013253536296543975</x:v>
      </x:c>
      <x:c r="I27" s="51" t="n">
        <x:f>'Wages and Rations'!$G$66</x:f>
        <x:v>0.07339033024072651</x:v>
      </x:c>
      <x:c r="J27" s="51" t="n">
        <x:f>'Basis'!$F$84</x:f>
        <x:v>0.3786724656155422</x:v>
      </x:c>
      <x:c r="K27" s="51" t="n">
        <x:f>'Basis'!$F$85</x:f>
        <x:v>0.1893362328077711</x:v>
      </x:c>
      <x:c r="L27" s="51" t="n">
        <x:f>SUM('Wages and Rations'!$G$62,'Wages and Rations'!$G$63,'Wages and Rations'!$G$64)</x:f>
        <x:v>0.05396082635021476</x:v>
      </x:c>
      <x:c r="M27" s="17" t="n">
        <x:f>SUM(F27,I27:L27)</x:f>
        <x:v>4.671420743977447</x:v>
      </x:c>
      <x:c r="N27" s="11" t="str">
        <x:v>Cloth extra.</x:v>
      </x:c>
    </x:row>
    <x:row r="28" ht="37" customHeight="1">
      <x:c r="C28" s="12" t="str">
        <x:v>Tanner</x:v>
      </x:c>
      <x:c r="D28" s="12" t="str">
        <x:v>mason</x:v>
      </x:c>
      <x:c r="E28" s="57" t="n">
        <x:v>0.7</x:v>
      </x:c>
      <x:c r="F28" s="58" t="n">
        <x:f>'Basis'!$F$88*E28</x:f>
        <x:v>3.9760608889631923</x:v>
      </x:c>
      <x:c r="G28" s="59" t="n">
        <x:v>300</x:v>
      </x:c>
      <x:c r="H28" s="60" t="n">
        <x:f>F28/G28</x:f>
        <x:v>0.013253536296543975</x:v>
      </x:c>
      <x:c r="I28" s="58" t="n">
        <x:f>'Wages and Rations'!$G$66</x:f>
        <x:v>0.07339033024072651</x:v>
      </x:c>
      <x:c r="J28" s="58" t="n">
        <x:f>'Basis'!$F$84</x:f>
        <x:v>0.3786724656155422</x:v>
      </x:c>
      <x:c r="K28" s="58" t="n">
        <x:f>'Basis'!$F$85</x:f>
        <x:v>0.1893362328077711</x:v>
      </x:c>
      <x:c r="L28" s="58" t="n">
        <x:f>SUM('Wages and Rations'!$G$62,'Wages and Rations'!$G$63,'Wages and Rations'!$G$64)</x:f>
        <x:v>0.05396082635021476</x:v>
      </x:c>
      <x:c r="M28" s="60" t="n">
        <x:f>SUM(F28,I28:L28)</x:f>
        <x:v>4.671420743977447</x:v>
      </x:c>
      <x:c r="N28" s="61" t="str">
        <x:v>Hides, bark and yard extra.</x:v>
      </x:c>
    </x:row>
    <x:row r="29" ht="37" customHeight="1">
      <x:c r="C29" s="2" t="str">
        <x:v>Baker</x:v>
      </x:c>
      <x:c r="D29" s="2" t="str">
        <x:v>mason</x:v>
      </x:c>
      <x:c r="E29" s="9" t="n">
        <x:v>0.55</x:v>
      </x:c>
      <x:c r="F29" s="51" t="n">
        <x:f>'Basis'!$F$88*E29</x:f>
        <x:v>3.124047841328223</x:v>
      </x:c>
      <x:c r="G29" s="22" t="n">
        <x:v>300</x:v>
      </x:c>
      <x:c r="H29" s="17" t="n">
        <x:f>F29/G29</x:f>
        <x:v>0.01041349280442741</x:v>
      </x:c>
      <x:c r="I29" s="51" t="n">
        <x:f>'Wages and Rations'!$G$66</x:f>
        <x:v>0.07339033024072651</x:v>
      </x:c>
      <x:c r="J29" s="51" t="n">
        <x:f>'Basis'!$F$84</x:f>
        <x:v>0.3786724656155422</x:v>
      </x:c>
      <x:c r="K29" s="51" t="n">
        <x:f>'Basis'!$F$85</x:f>
        <x:v>0.1893362328077711</x:v>
      </x:c>
      <x:c r="L29" s="51" t="n">
        <x:f>SUM('Wages and Rations'!$G$62,'Wages and Rations'!$G$63,'Wages and Rations'!$G$64)</x:f>
        <x:v>0.05396082635021476</x:v>
      </x:c>
      <x:c r="M29" s="17" t="n">
        <x:f>SUM(F29,I29:L29)</x:f>
        <x:v>3.819407696342478</x:v>
      </x:c>
      <x:c r="N29" s="11" t="str">
        <x:v>Grain, oven and fuel extra.</x:v>
      </x:c>
    </x:row>
    <x:row r="30" ht="37" customHeight="1">
      <x:c r="C30" s="12" t="str">
        <x:v>Brewer</x:v>
      </x:c>
      <x:c r="D30" s="12" t="str">
        <x:v>mason</x:v>
      </x:c>
      <x:c r="E30" s="57" t="n">
        <x:v>0.8</x:v>
      </x:c>
      <x:c r="F30" s="58" t="n">
        <x:f>'Basis'!$F$88*E30</x:f>
        <x:v>4.544069587386506</x:v>
      </x:c>
      <x:c r="G30" s="59" t="n">
        <x:v>300</x:v>
      </x:c>
      <x:c r="H30" s="60" t="n">
        <x:f>F30/G30</x:f>
        <x:v>0.015146898624621687</x:v>
      </x:c>
      <x:c r="I30" s="58" t="n">
        <x:f>'Wages and Rations'!$G$66</x:f>
        <x:v>0.07339033024072651</x:v>
      </x:c>
      <x:c r="J30" s="58" t="n">
        <x:f>'Basis'!$F$84</x:f>
        <x:v>0.3786724656155422</x:v>
      </x:c>
      <x:c r="K30" s="58" t="n">
        <x:f>'Basis'!$F$85</x:f>
        <x:v>0.1893362328077711</x:v>
      </x:c>
      <x:c r="L30" s="58" t="n">
        <x:f>SUM('Wages and Rations'!$G$62,'Wages and Rations'!$G$63,'Wages and Rations'!$G$64)</x:f>
        <x:v>0.05396082635021476</x:v>
      </x:c>
      <x:c r="M30" s="60" t="n">
        <x:f>SUM(F30,I30:L30)</x:f>
        <x:v>5.239429442400761</x:v>
      </x:c>
      <x:c r="N30" s="61" t="str">
        <x:v>Malt, vessels and fuel extra.</x:v>
      </x:c>
    </x:row>
    <x:row r="31" ht="37" customHeight="1">
      <x:c r="C31" s="2" t="str">
        <x:v>Miner or quarry worker</x:v>
      </x:c>
      <x:c r="D31" s="2" t="str">
        <x:v>farmworker</x:v>
      </x:c>
      <x:c r="E31" s="9" t="n">
        <x:v>3</x:v>
      </x:c>
      <x:c r="F31" s="51" t="n">
        <x:f>'Basis'!$F$70*E31</x:f>
        <x:v>1.7040260952699398</x:v>
      </x:c>
      <x:c r="G31" s="22" t="n">
        <x:v>300</x:v>
      </x:c>
      <x:c r="H31" s="17" t="n">
        <x:f>F31/G31</x:f>
        <x:v>0.0056800869842331325</x:v>
      </x:c>
      <x:c r="I31" s="51" t="n">
        <x:f>'Wages and Rations'!$G$66</x:f>
        <x:v>0.07339033024072651</x:v>
      </x:c>
      <x:c r="J31" s="51" t="n">
        <x:f>'Basis'!$F$84</x:f>
        <x:v>0.3786724656155422</x:v>
      </x:c>
      <x:c r="K31" s="51" t="n">
        <x:f>'Basis'!$F$85</x:f>
        <x:v>0.1893362328077711</x:v>
      </x:c>
      <x:c r="L31" s="51" t="n">
        <x:f>SUM('Wages and Rations'!$G$62,'Wages and Rations'!$G$63,'Wages and Rations'!$G$64)</x:f>
        <x:v>0.05396082635021476</x:v>
      </x:c>
      <x:c r="M31" s="17" t="n">
        <x:f>SUM(F31,I31:L31)</x:f>
        <x:v>2.399385950284194</x:v>
      </x:c>
      <x:c r="N31" s="11" t="str">
        <x:v>Tools and site costs extra.</x:v>
      </x:c>
    </x:row>
    <x:row r="32" ht="37" customHeight="1">
      <x:c r="C32" s="12" t="str">
        <x:v>Master builder</x:v>
      </x:c>
      <x:c r="D32" s="12" t="str">
        <x:v>mason</x:v>
      </x:c>
      <x:c r="E32" s="57" t="n">
        <x:v>2.2</x:v>
      </x:c>
      <x:c r="F32" s="58" t="n">
        <x:f>'Basis'!$F$88*E32</x:f>
        <x:v>12.496191365312892</x:v>
      </x:c>
      <x:c r="G32" s="59" t="n">
        <x:v>300</x:v>
      </x:c>
      <x:c r="H32" s="60" t="n">
        <x:f>F32/G32</x:f>
        <x:v>0.04165397121770964</x:v>
      </x:c>
      <x:c r="I32" s="58" t="n">
        <x:f>'Wages and Rations'!$G$66</x:f>
        <x:v>0.07339033024072651</x:v>
      </x:c>
      <x:c r="J32" s="58" t="n">
        <x:f>'Basis'!$F$84</x:f>
        <x:v>0.3786724656155422</x:v>
      </x:c>
      <x:c r="K32" s="58" t="n">
        <x:f>'Basis'!$F$85</x:f>
        <x:v>0.1893362328077711</x:v>
      </x:c>
      <x:c r="L32" s="58" t="n">
        <x:f>SUM('Wages and Rations'!$G$62,'Wages and Rations'!$G$63,'Wages and Rations'!$G$64)</x:f>
        <x:v>0.05396082635021476</x:v>
      </x:c>
      <x:c r="M32" s="60" t="n">
        <x:f>SUM(F32,I32:L32)</x:f>
        <x:v>13.191551220327147</x:v>
      </x:c>
      <x:c r="N32" s="61" t="str">
        <x:v>Site director; no construction materials included.</x:v>
      </x:c>
    </x:row>
    <x:row r="33" ht="37" customHeight="1">
      <x:c r="C33" s="2" t="str">
        <x:v>Household steward</x:v>
      </x:c>
      <x:c r="D33" s="2" t="str">
        <x:v>steward</x:v>
      </x:c>
      <x:c r="E33" s="9" t="n">
        <x:v>1</x:v>
      </x:c>
      <x:c r="F33" s="51" t="n">
        <x:f>'Basis'!$F$83*E33</x:f>
        <x:v>18.93362328077711</x:v>
      </x:c>
      <x:c r="G33" s="22" t="n">
        <x:v>365</x:v>
      </x:c>
      <x:c r="H33" s="17" t="n">
        <x:f>F33/G33</x:f>
        <x:v>0.051872940495279754</x:v>
      </x:c>
      <x:c r="I33" s="51" t="n">
        <x:f>'Wages and Rations'!$G$66</x:f>
        <x:v>0.07339033024072651</x:v>
      </x:c>
      <x:c r="J33" s="51" t="n">
        <x:f>'Basis'!$F$84</x:f>
        <x:v>0.3786724656155422</x:v>
      </x:c>
      <x:c r="K33" s="51" t="n">
        <x:f>'Basis'!$F$85</x:f>
        <x:v>0.1893362328077711</x:v>
      </x:c>
      <x:c r="L33" s="51" t="n">
        <x:f>SUM('Wages and Rations'!$G$62,'Wages and Rations'!$G$63,'Wages and Rations'!$G$64)</x:f>
        <x:v>0.05396082635021476</x:v>
      </x:c>
      <x:c r="M33" s="17" t="n">
        <x:f>SUM(F33,I33:L33)</x:f>
        <x:v>19.628983135791362</x:v>
      </x:c>
      <x:c r="N33" s="11" t="str">
        <x:v>Existing annual cash pay.</x:v>
      </x:c>
    </x:row>
    <x:row r="34" ht="37" customHeight="1">
      <x:c r="C34" s="12" t="str">
        <x:v>Retained maester</x:v>
      </x:c>
      <x:c r="D34" s="12" t="str">
        <x:v>steward</x:v>
      </x:c>
      <x:c r="E34" s="57" t="n">
        <x:v>1.5</x:v>
      </x:c>
      <x:c r="F34" s="58" t="n">
        <x:f>'Basis'!$F$83*E34</x:f>
        <x:v>28.40043492116566</x:v>
      </x:c>
      <x:c r="G34" s="59" t="n">
        <x:v>365</x:v>
      </x:c>
      <x:c r="H34" s="60" t="n">
        <x:f>F34/G34</x:f>
        <x:v>0.07780941074291962</x:v>
      </x:c>
      <x:c r="I34" s="58" t="n">
        <x:f>'Wages and Rations'!$G$66</x:f>
        <x:v>0.07339033024072651</x:v>
      </x:c>
      <x:c r="J34" s="58" t="n">
        <x:f>'Basis'!$F$84</x:f>
        <x:v>0.3786724656155422</x:v>
      </x:c>
      <x:c r="K34" s="58" t="n">
        <x:f>'Basis'!$F$85</x:f>
        <x:v>0.1893362328077711</x:v>
      </x:c>
      <x:c r="L34" s="58" t="n">
        <x:f>SUM('Wages and Rations'!$G$62,'Wages and Rations'!$G$63,'Wages and Rations'!$G$64)</x:f>
        <x:v>0.05396082635021476</x:v>
      </x:c>
      <x:c r="M34" s="60" t="n">
        <x:f>SUM(F34,I34:L34)</x:f>
        <x:v>29.095794776179915</x:v>
      </x:c>
      <x:c r="N34" s="61" t="str">
        <x:v>Simulation stipend; medicines, ravens and library extra.</x:v>
      </x:c>
    </x:row>
    <x:row r="35" ht="37" customHeight="1">
      <x:c r="C35" s="2" t="str">
        <x:v>Chirurgeon</x:v>
      </x:c>
      <x:c r="D35" s="2" t="str">
        <x:v>mason</x:v>
      </x:c>
      <x:c r="E35" s="9" t="n">
        <x:v>1.8</x:v>
      </x:c>
      <x:c r="F35" s="51" t="n">
        <x:f>'Basis'!$F$88*E35</x:f>
        <x:v>10.22415657161964</x:v>
      </x:c>
      <x:c r="G35" s="22" t="n">
        <x:v>365</x:v>
      </x:c>
      <x:c r="H35" s="17" t="n">
        <x:f>F35/G35</x:f>
        <x:v>0.028011387867451068</x:v>
      </x:c>
      <x:c r="I35" s="51" t="n">
        <x:f>'Wages and Rations'!$G$66</x:f>
        <x:v>0.07339033024072651</x:v>
      </x:c>
      <x:c r="J35" s="51" t="n">
        <x:f>'Basis'!$F$84</x:f>
        <x:v>0.3786724656155422</x:v>
      </x:c>
      <x:c r="K35" s="51" t="n">
        <x:f>'Basis'!$F$85</x:f>
        <x:v>0.1893362328077711</x:v>
      </x:c>
      <x:c r="L35" s="51" t="n">
        <x:f>SUM('Wages and Rations'!$G$62,'Wages and Rations'!$G$63,'Wages and Rations'!$G$64)</x:f>
        <x:v>0.05396082635021476</x:v>
      </x:c>
      <x:c r="M35" s="17" t="n">
        <x:f>SUM(F35,I35:L35)</x:f>
        <x:v>10.919516426633894</x:v>
      </x:c>
      <x:c r="N35" s="11" t="str">
        <x:v>Supplies extra; simulation service stipend.</x:v>
      </x:c>
    </x:row>
    <x:row r="36" ht="37" customHeight="1">
      <x:c r="C36" s="12" t="str">
        <x:v>Foot retainer</x:v>
      </x:c>
      <x:c r="D36" s="12" t="str">
        <x:v>foot</x:v>
      </x:c>
      <x:c r="E36" s="57" t="n">
        <x:v>1</x:v>
      </x:c>
      <x:c r="F36" s="58" t="n">
        <x:f>'Basis'!$F$79*E36</x:f>
        <x:v>3.7867246561554215</x:v>
      </x:c>
      <x:c r="G36" s="59" t="n">
        <x:v>365</x:v>
      </x:c>
      <x:c r="H36" s="60" t="n">
        <x:f>F36/G36</x:f>
        <x:v>0.01037458809905595</x:v>
      </x:c>
      <x:c r="I36" s="58" t="n">
        <x:f>'Wages and Rations'!$G$66</x:f>
        <x:v>0.07339033024072651</x:v>
      </x:c>
      <x:c r="J36" s="58" t="n">
        <x:f>'Basis'!$F$84</x:f>
        <x:v>0.3786724656155422</x:v>
      </x:c>
      <x:c r="K36" s="58" t="n">
        <x:f>'Basis'!$F$85</x:f>
        <x:v>0.1893362328077711</x:v>
      </x:c>
      <x:c r="L36" s="58" t="n">
        <x:f>SUM('Wages and Rations'!$G$62,'Wages and Rations'!$G$63,'Wages and Rations'!$G$64)</x:f>
        <x:v>0.05396082635021476</x:v>
      </x:c>
      <x:c r="M36" s="60" t="n">
        <x:f>SUM(F36,I36:L36)</x:f>
        <x:v>4.482084511169676</x:v>
      </x:c>
      <x:c r="N36" s="61" t="str">
        <x:v>Existing cash pay; initial arms bought separately.</x:v>
      </x:c>
    </x:row>
    <x:row r="37" ht="37" customHeight="1">
      <x:c r="C37" s="2" t="str">
        <x:v>Archer</x:v>
      </x:c>
      <x:c r="D37" s="2" t="str">
        <x:v>foot</x:v>
      </x:c>
      <x:c r="E37" s="9" t="n">
        <x:v>1.1</x:v>
      </x:c>
      <x:c r="F37" s="51" t="n">
        <x:f>'Basis'!$F$79*E37</x:f>
        <x:v>4.165397121770964</x:v>
      </x:c>
      <x:c r="G37" s="22" t="n">
        <x:v>365</x:v>
      </x:c>
      <x:c r="H37" s="17" t="n">
        <x:f>F37/G37</x:f>
        <x:v>0.011412046908961547</x:v>
      </x:c>
      <x:c r="I37" s="51" t="n">
        <x:f>'Wages and Rations'!$G$66</x:f>
        <x:v>0.07339033024072651</x:v>
      </x:c>
      <x:c r="J37" s="51" t="n">
        <x:f>'Basis'!$F$84</x:f>
        <x:v>0.3786724656155422</x:v>
      </x:c>
      <x:c r="K37" s="51" t="n">
        <x:f>'Basis'!$F$85</x:f>
        <x:v>0.1893362328077711</x:v>
      </x:c>
      <x:c r="L37" s="51" t="n">
        <x:f>SUM('Wages and Rations'!$G$62,'Wages and Rations'!$G$63,'Wages and Rations'!$G$64)</x:f>
        <x:v>0.05396082635021476</x:v>
      </x:c>
      <x:c r="M37" s="17" t="n">
        <x:f>SUM(F37,I37:L37)</x:f>
        <x:v>4.860756976785219</x:v>
      </x:c>
      <x:c r="N37" s="11" t="str">
        <x:v>Trained ordinary bowman.</x:v>
      </x:c>
    </x:row>
    <x:row r="38" ht="37" customHeight="1">
      <x:c r="C38" s="12" t="str">
        <x:v>Longbow specialist</x:v>
      </x:c>
      <x:c r="D38" s="12" t="str">
        <x:v>foot</x:v>
      </x:c>
      <x:c r="E38" s="57" t="n">
        <x:v>1.3</x:v>
      </x:c>
      <x:c r="F38" s="58" t="n">
        <x:f>'Basis'!$F$79*E38</x:f>
        <x:v>4.9227420530020485</x:v>
      </x:c>
      <x:c r="G38" s="59" t="n">
        <x:v>365</x:v>
      </x:c>
      <x:c r="H38" s="60" t="n">
        <x:f>F38/G38</x:f>
        <x:v>0.013486964528772736</x:v>
      </x:c>
      <x:c r="I38" s="58" t="n">
        <x:f>'Wages and Rations'!$G$66</x:f>
        <x:v>0.07339033024072651</x:v>
      </x:c>
      <x:c r="J38" s="58" t="n">
        <x:f>'Basis'!$F$84</x:f>
        <x:v>0.3786724656155422</x:v>
      </x:c>
      <x:c r="K38" s="58" t="n">
        <x:f>'Basis'!$F$85</x:f>
        <x:v>0.1893362328077711</x:v>
      </x:c>
      <x:c r="L38" s="58" t="n">
        <x:f>SUM('Wages and Rations'!$G$62,'Wages and Rations'!$G$63,'Wages and Rations'!$G$64)</x:f>
        <x:v>0.05396082635021476</x:v>
      </x:c>
      <x:c r="M38" s="60" t="n">
        <x:f>SUM(F38,I38:L38)</x:f>
        <x:v>5.618101908016303</x:v>
      </x:c>
      <x:c r="N38" s="61" t="str">
        <x:v>Experienced specialist.</x:v>
      </x:c>
    </x:row>
    <x:row r="39" ht="37" customHeight="1">
      <x:c r="C39" s="2" t="str">
        <x:v>Man-at-arms on foot</x:v>
      </x:c>
      <x:c r="D39" s="2" t="str">
        <x:v>foot</x:v>
      </x:c>
      <x:c r="E39" s="9" t="n">
        <x:v>1.6</x:v>
      </x:c>
      <x:c r="F39" s="51" t="n">
        <x:f>'Basis'!$F$79*E39</x:f>
        <x:v>6.058759449848675</x:v>
      </x:c>
      <x:c r="G39" s="22" t="n">
        <x:v>365</x:v>
      </x:c>
      <x:c r="H39" s="17" t="n">
        <x:f>F39/G39</x:f>
        <x:v>0.01659934095848952</x:v>
      </x:c>
      <x:c r="I39" s="51" t="n">
        <x:f>'Wages and Rations'!$G$66</x:f>
        <x:v>0.07339033024072651</x:v>
      </x:c>
      <x:c r="J39" s="51" t="n">
        <x:f>'Basis'!$F$84</x:f>
        <x:v>0.3786724656155422</x:v>
      </x:c>
      <x:c r="K39" s="51" t="n">
        <x:f>'Basis'!$F$85</x:f>
        <x:v>0.1893362328077711</x:v>
      </x:c>
      <x:c r="L39" s="51" t="n">
        <x:f>SUM('Wages and Rations'!$G$62,'Wages and Rations'!$G$63,'Wages and Rations'!$G$64)</x:f>
        <x:v>0.05396082635021476</x:v>
      </x:c>
      <x:c r="M39" s="17" t="n">
        <x:f>SUM(F39,I39:L39)</x:f>
        <x:v>6.75411930486293</x:v>
      </x:c>
      <x:c r="N39" s="11" t="str">
        <x:v>Trained armoured retainer.</x:v>
      </x:c>
    </x:row>
    <x:row r="40" ht="37" customHeight="1">
      <x:c r="C40" s="12" t="str">
        <x:v>Mounted retainer</x:v>
      </x:c>
      <x:c r="D40" s="12" t="str">
        <x:v>mounted</x:v>
      </x:c>
      <x:c r="E40" s="57" t="n">
        <x:v>1</x:v>
      </x:c>
      <x:c r="F40" s="58" t="n">
        <x:f>'Basis'!$F$80*E40</x:f>
        <x:v>7.573449312310843</x:v>
      </x:c>
      <x:c r="G40" s="59" t="n">
        <x:v>365</x:v>
      </x:c>
      <x:c r="H40" s="60" t="n">
        <x:f>F40/G40</x:f>
        <x:v>0.0207491761981119</x:v>
      </x:c>
      <x:c r="I40" s="58" t="n">
        <x:f>'Wages and Rations'!$G$66</x:f>
        <x:v>0.07339033024072651</x:v>
      </x:c>
      <x:c r="J40" s="58" t="n">
        <x:f>'Basis'!$F$84</x:f>
        <x:v>0.3786724656155422</x:v>
      </x:c>
      <x:c r="K40" s="58" t="n">
        <x:f>'Basis'!$F$85</x:f>
        <x:v>0.1893362328077711</x:v>
      </x:c>
      <x:c r="L40" s="58" t="n">
        <x:f>SUM('Wages and Rations'!$G$62,'Wages and Rations'!$G$63,'Wages and Rations'!$G$64)</x:f>
        <x:v>0.05396082635021476</x:v>
      </x:c>
      <x:c r="M40" s="60" t="n">
        <x:f>SUM(F40,I40:L40)</x:f>
        <x:v>8.268809167325097</x:v>
      </x:c>
      <x:c r="N40" s="61" t="str">
        <x:v>Existing cash pay; horse budget separate.</x:v>
      </x:c>
    </x:row>
    <x:row r="41" ht="37" customHeight="1">
      <x:c r="C41" s="2" t="str">
        <x:v>Knight in household service</x:v>
      </x:c>
      <x:c r="D41" s="2" t="str">
        <x:v>mounted</x:v>
      </x:c>
      <x:c r="E41" s="9" t="n">
        <x:v>2</x:v>
      </x:c>
      <x:c r="F41" s="51" t="n">
        <x:f>'Basis'!$F$80*E41</x:f>
        <x:v>15.146898624621686</x:v>
      </x:c>
      <x:c r="G41" s="22" t="n">
        <x:v>365</x:v>
      </x:c>
      <x:c r="H41" s="17" t="n">
        <x:f>F41/G41</x:f>
        <x:v>0.0414983523962238</x:v>
      </x:c>
      <x:c r="I41" s="51" t="n">
        <x:f>'Wages and Rations'!$G$66</x:f>
        <x:v>0.07339033024072651</x:v>
      </x:c>
      <x:c r="J41" s="51" t="n">
        <x:f>'Basis'!$F$84</x:f>
        <x:v>0.3786724656155422</x:v>
      </x:c>
      <x:c r="K41" s="51" t="n">
        <x:f>'Basis'!$F$85</x:f>
        <x:v>0.1893362328077711</x:v>
      </x:c>
      <x:c r="L41" s="51" t="n">
        <x:f>SUM('Wages and Rations'!$G$62,'Wages and Rations'!$G$63,'Wages and Rations'!$G$64)</x:f>
        <x:v>0.05396082635021476</x:v>
      </x:c>
      <x:c r="M41" s="17" t="n">
        <x:f>SUM(F41,I41:L41)</x:f>
        <x:v>15.842258479635941</x:v>
      </x:c>
      <x:c r="N41" s="11" t="str">
        <x:v>Service pay only, not income from landed estates.</x:v>
      </x:c>
    </x:row>
    <x:row r="42" ht="37" customHeight="1">
      <x:c r="C42" s="12" t="str">
        <x:v>Company captain</x:v>
      </x:c>
      <x:c r="D42" s="12" t="str">
        <x:v>mounted</x:v>
      </x:c>
      <x:c r="E42" s="57" t="n">
        <x:v>3</x:v>
      </x:c>
      <x:c r="F42" s="58" t="n">
        <x:f>'Basis'!$F$80*E42</x:f>
        <x:v>22.72034793693253</x:v>
      </x:c>
      <x:c r="G42" s="59" t="n">
        <x:v>365</x:v>
      </x:c>
      <x:c r="H42" s="60" t="n">
        <x:f>F42/G42</x:f>
        <x:v>0.0622475285943357</x:v>
      </x:c>
      <x:c r="I42" s="58" t="n">
        <x:f>'Wages and Rations'!$G$66</x:f>
        <x:v>0.07339033024072651</x:v>
      </x:c>
      <x:c r="J42" s="58" t="n">
        <x:f>'Basis'!$F$84</x:f>
        <x:v>0.3786724656155422</x:v>
      </x:c>
      <x:c r="K42" s="58" t="n">
        <x:f>'Basis'!$F$85</x:f>
        <x:v>0.1893362328077711</x:v>
      </x:c>
      <x:c r="L42" s="58" t="n">
        <x:f>SUM('Wages and Rations'!$G$62,'Wages and Rations'!$G$63,'Wages and Rations'!$G$64)</x:f>
        <x:v>0.05396082635021476</x:v>
      </x:c>
      <x:c r="M42" s="60" t="n">
        <x:f>SUM(F42,I42:L42)</x:f>
        <x:v>23.415707791946783</x:v>
      </x:c>
      <x:c r="N42" s="61" t="str">
        <x:v>Command stipend.</x:v>
      </x:c>
    </x:row>
    <x:row r="43" ht="37" customHeight="1">
      <x:c r="C43" s="2" t="str">
        <x:v>Hired galley rower</x:v>
      </x:c>
      <x:c r="D43" s="2" t="str">
        <x:v>foot</x:v>
      </x:c>
      <x:c r="E43" s="9" t="n">
        <x:v>0.6</x:v>
      </x:c>
      <x:c r="F43" s="51" t="n">
        <x:f>'Basis'!$F$79*E43</x:f>
        <x:v>2.272034793693253</x:v>
      </x:c>
      <x:c r="G43" s="22" t="n">
        <x:v>365</x:v>
      </x:c>
      <x:c r="H43" s="17" t="n">
        <x:f>F43/G43</x:f>
        <x:v>0.0062247528594335695</x:v>
      </x:c>
      <x:c r="I43" s="51" t="n">
        <x:f>'Wages and Rations'!$G$66</x:f>
        <x:v>0.07339033024072651</x:v>
      </x:c>
      <x:c r="J43" s="51" t="n">
        <x:f>'Basis'!$F$84</x:f>
        <x:v>0.3786724656155422</x:v>
      </x:c>
      <x:c r="K43" s="51" t="n">
        <x:f>'Basis'!$F$85</x:f>
        <x:v>0.1893362328077711</x:v>
      </x:c>
      <x:c r="L43" s="51" t="n">
        <x:f>SUM('Wages and Rations'!$G$62,'Wages and Rations'!$G$63,'Wages and Rations'!$G$64)</x:f>
        <x:v>0.05396082635021476</x:v>
      </x:c>
      <x:c r="M43" s="17" t="n">
        <x:f>SUM(F43,I43:L43)</x:f>
        <x:v>2.967394648707508</x:v>
      </x:c>
      <x:c r="N43" s="11" t="str">
        <x:v>Paid seasonal hire may be prorated by contracted days.</x:v>
      </x:c>
    </x:row>
    <x:row r="44" ht="37" customHeight="1">
      <x:c r="C44" s="12" t="str">
        <x:v>Able seaman</x:v>
      </x:c>
      <x:c r="D44" s="12" t="str">
        <x:v>foot</x:v>
      </x:c>
      <x:c r="E44" s="57" t="n">
        <x:v>0.8</x:v>
      </x:c>
      <x:c r="F44" s="58" t="n">
        <x:f>'Basis'!$F$79*E44</x:f>
        <x:v>3.0293797249243375</x:v>
      </x:c>
      <x:c r="G44" s="59" t="n">
        <x:v>365</x:v>
      </x:c>
      <x:c r="H44" s="60" t="n">
        <x:f>F44/G44</x:f>
        <x:v>0.00829967047924476</x:v>
      </x:c>
      <x:c r="I44" s="58" t="n">
        <x:f>'Wages and Rations'!$G$66</x:f>
        <x:v>0.07339033024072651</x:v>
      </x:c>
      <x:c r="J44" s="58" t="n">
        <x:f>'Basis'!$F$84</x:f>
        <x:v>0.3786724656155422</x:v>
      </x:c>
      <x:c r="K44" s="58" t="n">
        <x:f>'Basis'!$F$85</x:f>
        <x:v>0.1893362328077711</x:v>
      </x:c>
      <x:c r="L44" s="58" t="n">
        <x:f>SUM('Wages and Rations'!$G$62,'Wages and Rations'!$G$63,'Wages and Rations'!$G$64)</x:f>
        <x:v>0.05396082635021476</x:v>
      </x:c>
      <x:c r="M44" s="60" t="n">
        <x:f>SUM(F44,I44:L44)</x:f>
        <x:v>3.724739579938592</x:v>
      </x:c>
      <x:c r="N44" s="61" t="str">
        <x:v>Paid seasonal hire may be prorated by contracted days.</x:v>
      </x:c>
    </x:row>
    <x:row r="45" ht="37" customHeight="1">
      <x:c r="C45" s="2" t="str">
        <x:v>Ship officer, blended rate</x:v>
      </x:c>
      <x:c r="D45" s="2" t="str">
        <x:v>mounted</x:v>
      </x:c>
      <x:c r="E45" s="9" t="n">
        <x:v>1</x:v>
      </x:c>
      <x:c r="F45" s="51" t="n">
        <x:f>'Basis'!$F$80*E45</x:f>
        <x:v>7.573449312310843</x:v>
      </x:c>
      <x:c r="G45" s="22" t="n">
        <x:v>365</x:v>
      </x:c>
      <x:c r="H45" s="17" t="n">
        <x:f>F45/G45</x:f>
        <x:v>0.0207491761981119</x:v>
      </x:c>
      <x:c r="I45" s="51" t="n">
        <x:f>'Wages and Rations'!$G$66</x:f>
        <x:v>0.07339033024072651</x:v>
      </x:c>
      <x:c r="J45" s="51" t="n">
        <x:f>'Basis'!$F$84</x:f>
        <x:v>0.3786724656155422</x:v>
      </x:c>
      <x:c r="K45" s="51" t="n">
        <x:f>'Basis'!$F$85</x:f>
        <x:v>0.1893362328077711</x:v>
      </x:c>
      <x:c r="L45" s="51" t="n">
        <x:f>SUM('Wages and Rations'!$G$62,'Wages and Rations'!$G$63,'Wages and Rations'!$G$64)</x:f>
        <x:v>0.05396082635021476</x:v>
      </x:c>
      <x:c r="M45" s="17" t="n">
        <x:f>SUM(F45,I45:L45)</x:f>
        <x:v>8.268809167325097</x:v>
      </x:c>
      <x:c r="N45" s="11" t="str">
        <x:v>Blended mate/master rate used in ship budgets.</x:v>
      </x:c>
    </x:row>
    <x:row r="46" ht="37" customHeight="1">
      <x:c r="C46" s="12" t="str">
        <x:v>Experienced shipmaster</x:v>
      </x:c>
      <x:c r="D46" s="12" t="str">
        <x:v>mounted</x:v>
      </x:c>
      <x:c r="E46" s="57" t="n">
        <x:v>2</x:v>
      </x:c>
      <x:c r="F46" s="58" t="n">
        <x:f>'Basis'!$F$80*E46</x:f>
        <x:v>15.146898624621686</x:v>
      </x:c>
      <x:c r="G46" s="59" t="n">
        <x:v>365</x:v>
      </x:c>
      <x:c r="H46" s="60" t="n">
        <x:f>F46/G46</x:f>
        <x:v>0.0414983523962238</x:v>
      </x:c>
      <x:c r="I46" s="58" t="n">
        <x:f>'Wages and Rations'!$G$66</x:f>
        <x:v>0.07339033024072651</x:v>
      </x:c>
      <x:c r="J46" s="58" t="n">
        <x:f>'Basis'!$F$84</x:f>
        <x:v>0.3786724656155422</x:v>
      </x:c>
      <x:c r="K46" s="58" t="n">
        <x:f>'Basis'!$F$85</x:f>
        <x:v>0.1893362328077711</x:v>
      </x:c>
      <x:c r="L46" s="58" t="n">
        <x:f>SUM('Wages and Rations'!$G$62,'Wages and Rations'!$G$63,'Wages and Rations'!$G$64)</x:f>
        <x:v>0.05396082635021476</x:v>
      </x:c>
      <x:c r="M46" s="60" t="n">
        <x:f>SUM(F46,I46:L46)</x:f>
        <x:v>15.842258479635941</x:v>
      </x:c>
      <x:c r="N46" s="61" t="str">
        <x:v>Individual senior-master contract.</x:v>
      </x:c>
    </x:row>
    <x:row r="47" ht="26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42" customHeight="1">
      <x:c r="C48" s="5" t="str">
        <x:v>The first six columns define the cash contract. Board is shown as a comparable full-year package, not asserted to be part of every trade hire. An estate already issuing the listed grain should not buy that grain a second time.</x:v>
      </x:c>
      <x:c r="D48" s="5"/>
      <x:c r="E48" s="5"/>
      <x:c r="F48" s="5"/>
      <x:c r="G48" s="5"/>
      <x:c r="H48" s="5"/>
      <x:c r="I48" s="5"/>
      <x:c r="J48" s="5"/>
      <x:c r="K48" s="2"/>
      <x:c r="L48" s="2"/>
      <x:c r="M48" s="2"/>
      <x:c r="N48" s="2"/>
    </x:row>
    <x:row r="49" ht="26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6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31" customHeight="1">
      <x:c r="C51" s="13" t="str">
        <x:v>Common provisioning quantities and annual upkeep</x:v>
      </x:c>
      <x:c r="D51" s="13"/>
      <x:c r="E51" s="13"/>
      <x:c r="F51" s="13"/>
      <x:c r="G51" s="13"/>
      <x:c r="H51" s="13"/>
      <x:c r="I51" s="13"/>
      <x:c r="J51" s="13"/>
      <x:c r="K51" s="2"/>
      <x:c r="L51" s="2"/>
      <x:c r="M51" s="2"/>
      <x:c r="N51" s="2"/>
    </x:row>
    <x:row r="52" ht="26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40" customHeight="1">
      <x:c r="C53" s="8" t="str">
        <x:v>Provision or allowance</x:v>
      </x:c>
      <x:c r="D53" s="8" t="str">
        <x:v>Annual quantity</x:v>
      </x:c>
      <x:c r="E53" s="8" t="str">
        <x:v>Unit</x:v>
      </x:c>
      <x:c r="F53" s="8" t="str">
        <x:v>GD / unit</x:v>
      </x:c>
      <x:c r="G53" s="8" t="str">
        <x:v>Annual GD</x:v>
      </x:c>
      <x:c r="H53" s="8" t="str">
        <x:v>Scope</x:v>
      </x:c>
      <x:c r="I53" s="11"/>
      <x:c r="J53" s="11"/>
      <x:c r="K53" s="11"/>
      <x:c r="L53" s="11"/>
      <x:c r="M53" s="11"/>
      <x:c r="N53" s="11"/>
    </x:row>
    <x:row r="54" ht="34" customHeight="1">
      <x:c r="C54" s="2" t="str">
        <x:v>Rye</x:v>
      </x:c>
      <x:c r="D54" s="51" t="n">
        <x:f>'Basis'!$D$11*'Basis'!$D$12</x:f>
        <x:v>0.44000000000000006</x:v>
      </x:c>
      <x:c r="E54" s="17" t="str">
        <x:v>quarter</x:v>
      </x:c>
      <x:c r="F54" s="51" t="n">
        <x:f>'Price Catalog'!$G$7</x:f>
        <x:v>0.06311207760259036</x:v>
      </x:c>
      <x:c r="G54" s="17" t="n">
        <x:f>D54*F54</x:f>
        <x:v>0.02776931414513976</x:v>
      </x:c>
      <x:c r="H54" s="11" t="str">
        <x:v>Existing 1.1-quarter annual grain ration, split by crop.</x:v>
      </x:c>
      <x:c r="I54" s="11"/>
      <x:c r="J54" s="11"/>
      <x:c r="K54" s="11"/>
      <x:c r="L54" s="11"/>
      <x:c r="M54" s="11"/>
      <x:c r="N54" s="11"/>
    </x:row>
    <x:row r="55" ht="34" customHeight="1">
      <x:c r="C55" s="2" t="str">
        <x:v>Barley</x:v>
      </x:c>
      <x:c r="D55" s="51" t="n">
        <x:f>'Basis'!$D$11*'Basis'!$D$13</x:f>
        <x:v>0.275</x:v>
      </x:c>
      <x:c r="E55" s="17" t="str">
        <x:v>quarter</x:v>
      </x:c>
      <x:c r="F55" s="51" t="n">
        <x:f>'Price Catalog'!$G$9</x:f>
        <x:v>0.07212808868867471</x:v>
      </x:c>
      <x:c r="G55" s="17" t="n">
        <x:f>D55*F55</x:f>
        <x:v>0.019835224389385547</x:v>
      </x:c>
      <x:c r="H55" s="11" t="str">
        <x:v>Existing 1.1-quarter annual grain ration, split by crop.</x:v>
      </x:c>
      <x:c r="I55" s="11"/>
      <x:c r="J55" s="11"/>
      <x:c r="K55" s="11"/>
      <x:c r="L55" s="11"/>
      <x:c r="M55" s="11"/>
      <x:c r="N55" s="11"/>
    </x:row>
    <x:row r="56" ht="34" customHeight="1">
      <x:c r="C56" s="2" t="str">
        <x:v>Oats</x:v>
      </x:c>
      <x:c r="D56" s="51" t="n">
        <x:f>'Basis'!$D$11*'Basis'!$D$14</x:f>
        <x:v>0.22000000000000003</x:v>
      </x:c>
      <x:c r="E56" s="17" t="str">
        <x:v>quarter</x:v>
      </x:c>
      <x:c r="F56" s="51" t="n">
        <x:f>'Price Catalog'!$G$11</x:f>
        <x:v>0.045080055430421685</x:v>
      </x:c>
      <x:c r="G56" s="17" t="n">
        <x:f>D56*F56</x:f>
        <x:v>0.009917612194692772</x:v>
      </x:c>
      <x:c r="H56" s="11" t="str">
        <x:v>Existing 1.1-quarter annual grain ration, split by crop.</x:v>
      </x:c>
      <x:c r="I56" s="11"/>
      <x:c r="J56" s="11"/>
      <x:c r="K56" s="11"/>
      <x:c r="L56" s="11"/>
      <x:c r="M56" s="11"/>
      <x:c r="N56" s="11"/>
    </x:row>
    <x:row r="57" ht="34" customHeight="1">
      <x:c r="C57" s="2" t="str">
        <x:v>Beans</x:v>
      </x:c>
      <x:c r="D57" s="51" t="n">
        <x:f>'Basis'!$D$11*'Basis'!$D$15</x:f>
        <x:v>0.11000000000000001</x:v>
      </x:c>
      <x:c r="E57" s="17" t="str">
        <x:v>quarter</x:v>
      </x:c>
      <x:c r="F57" s="51" t="n">
        <x:f>'Price Catalog'!$G$13</x:f>
        <x:v>0.09016011086084337</x:v>
      </x:c>
      <x:c r="G57" s="17" t="n">
        <x:f>D57*F57</x:f>
        <x:v>0.009917612194692772</x:v>
      </x:c>
      <x:c r="H57" s="11" t="str">
        <x:v>Existing 1.1-quarter annual grain ration, split by crop.</x:v>
      </x:c>
      <x:c r="I57" s="11"/>
      <x:c r="J57" s="11"/>
      <x:c r="K57" s="11"/>
      <x:c r="L57" s="11"/>
      <x:c r="M57" s="11"/>
      <x:c r="N57" s="11"/>
    </x:row>
    <x:row r="58" ht="34" customHeight="1">
      <x:c r="C58" s="2" t="str">
        <x:v>Wheat</x:v>
      </x:c>
      <x:c r="D58" s="51" t="n">
        <x:f>'Basis'!$D$11*'Basis'!$D$16</x:f>
        <x:v>0.05500000000000001</x:v>
      </x:c>
      <x:c r="E58" s="17" t="str">
        <x:v>quarter</x:v>
      </x:c>
      <x:c r="F58" s="51" t="n">
        <x:f>'Price Catalog'!$G$15</x:f>
        <x:v>0.10819213303301203</x:v>
      </x:c>
      <x:c r="G58" s="17" t="n">
        <x:f>D58*F58</x:f>
        <x:v>0.005950567316815663</x:v>
      </x:c>
      <x:c r="H58" s="11" t="str">
        <x:v>Existing 1.1-quarter annual grain ration, split by crop.</x:v>
      </x:c>
      <x:c r="I58" s="11"/>
      <x:c r="J58" s="11"/>
      <x:c r="K58" s="11"/>
      <x:c r="L58" s="11"/>
      <x:c r="M58" s="11"/>
      <x:c r="N58" s="11"/>
    </x:row>
    <x:row r="59" ht="34" customHeight="1">
      <x:c r="C59" s="2"/>
      <x:c r="D59" s="17"/>
      <x:c r="E59" s="17"/>
      <x:c r="F59" s="17"/>
      <x:c r="G59" s="17"/>
      <x:c r="H59" s="11"/>
      <x:c r="I59" s="11"/>
      <x:c r="J59" s="11"/>
      <x:c r="K59" s="11"/>
      <x:c r="L59" s="11"/>
      <x:c r="M59" s="11"/>
      <x:c r="N59" s="11"/>
    </x:row>
    <x:row r="60" ht="34" customHeight="1">
      <x:c r="C60" s="2" t="str">
        <x:v>Other food</x:v>
      </x:c>
      <x:c r="D60" s="17" t="n">
        <x:v>1</x:v>
      </x:c>
      <x:c r="E60" s="17" t="str">
        <x:v>adult-year</x:v>
      </x:c>
      <x:c r="F60" s="51" t="n">
        <x:f>'Basis'!$F$84</x:f>
        <x:v>0.3786724656155422</x:v>
      </x:c>
      <x:c r="G60" s="17" t="n">
        <x:f>D60*F60</x:f>
        <x:v>0.3786724656155422</x:v>
      </x:c>
      <x:c r="H60" s="11" t="str">
        <x:v>Existing non-grain allowance; do not add a second ration basket.</x:v>
      </x:c>
      <x:c r="I60" s="11"/>
      <x:c r="J60" s="11"/>
      <x:c r="K60" s="11"/>
      <x:c r="L60" s="11"/>
      <x:c r="M60" s="11"/>
      <x:c r="N60" s="11"/>
    </x:row>
    <x:row r="61" ht="34" customHeight="1">
      <x:c r="C61" s="2" t="str">
        <x:v>Clothing and livery</x:v>
      </x:c>
      <x:c r="D61" s="17" t="n">
        <x:v>1</x:v>
      </x:c>
      <x:c r="E61" s="17" t="str">
        <x:v>adult-year</x:v>
      </x:c>
      <x:c r="F61" s="51" t="n">
        <x:f>'Basis'!$F$85</x:f>
        <x:v>0.1893362328077711</x:v>
      </x:c>
      <x:c r="G61" s="17" t="n">
        <x:f>D61*F61</x:f>
        <x:v>0.1893362328077711</x:v>
      </x:c>
      <x:c r="H61" s="11" t="str">
        <x:v>Existing annual issue and repair allowance.</x:v>
      </x:c>
      <x:c r="I61" s="11"/>
      <x:c r="J61" s="11"/>
      <x:c r="K61" s="11"/>
      <x:c r="L61" s="11"/>
      <x:c r="M61" s="11"/>
      <x:c r="N61" s="11"/>
    </x:row>
    <x:row r="62" ht="34" customHeight="1">
      <x:c r="C62" s="2" t="str">
        <x:v>Fuel share</x:v>
      </x:c>
      <x:c r="D62" s="17" t="n">
        <x:v>0.2</x:v>
      </x:c>
      <x:c r="E62" s="17" t="str">
        <x:v>cord</x:v>
      </x:c>
      <x:c r="F62" s="51" t="n">
        <x:f>'Price Catalog'!$G$182</x:f>
        <x:v>0.170402609526994</x:v>
      </x:c>
      <x:c r="G62" s="17" t="n">
        <x:f>D62*F62</x:f>
        <x:v>0.0340805219053988</x:v>
      </x:c>
      <x:c r="H62" s="11" t="str">
        <x:v>New shared-hearth assumption.</x:v>
      </x:c>
      <x:c r="I62" s="11"/>
      <x:c r="J62" s="11"/>
      <x:c r="K62" s="11"/>
      <x:c r="L62" s="11"/>
      <x:c r="M62" s="11"/>
      <x:c r="N62" s="11"/>
    </x:row>
    <x:row r="63" ht="34" customHeight="1">
      <x:c r="C63" s="2" t="str">
        <x:v>Lighting share</x:v>
      </x:c>
      <x:c r="D63" s="17" t="n">
        <x:v>2</x:v>
      </x:c>
      <x:c r="E63" s="17" t="str">
        <x:v>lb tallow candles</x:v>
      </x:c>
      <x:c r="F63" s="51" t="n">
        <x:f>'Price Catalog'!$G$265</x:f>
        <x:v>0.007573449312310843</x:v>
      </x:c>
      <x:c r="G63" s="17" t="n">
        <x:f>D63*F63</x:f>
        <x:v>0.015146898624621687</x:v>
      </x:c>
      <x:c r="H63" s="11" t="str">
        <x:v>New annual consumables assumption.</x:v>
      </x:c>
      <x:c r="I63" s="11"/>
      <x:c r="J63" s="11"/>
      <x:c r="K63" s="11"/>
      <x:c r="L63" s="11"/>
      <x:c r="M63" s="11"/>
      <x:c r="N63" s="11"/>
    </x:row>
    <x:row r="64" ht="34" customHeight="1">
      <x:c r="C64" s="2" t="str">
        <x:v>Bedding renewal</x:v>
      </x:c>
      <x:c r="D64" s="17" t="n">
        <x:v>0.1</x:v>
      </x:c>
      <x:c r="E64" s="17" t="str">
        <x:v>straw bed tick</x:v>
      </x:c>
      <x:c r="F64" s="51" t="n">
        <x:f>'Price Catalog'!$G$159</x:f>
        <x:v>0.04733405820194277</x:v>
      </x:c>
      <x:c r="G64" s="17" t="n">
        <x:f>D64*F64</x:f>
        <x:v>0.0047334058201942775</x:v>
      </x:c>
      <x:c r="H64" s="11" t="str">
        <x:v>New renewal allowance.</x:v>
      </x:c>
      <x:c r="I64" s="11"/>
      <x:c r="J64" s="11"/>
      <x:c r="K64" s="11"/>
      <x:c r="L64" s="11"/>
      <x:c r="M64" s="11"/>
      <x:c r="N64" s="11"/>
    </x:row>
    <x:row r="65" ht="34" customHeight="1">
      <x:c r="C65" s="2"/>
      <x:c r="D65" s="17"/>
      <x:c r="E65" s="17"/>
      <x:c r="F65" s="17"/>
      <x:c r="G65" s="17"/>
      <x:c r="H65" s="11"/>
      <x:c r="I65" s="11"/>
      <x:c r="J65" s="11"/>
      <x:c r="K65" s="11"/>
      <x:c r="L65" s="11"/>
      <x:c r="M65" s="11"/>
      <x:c r="N65" s="11"/>
    </x:row>
    <x:row r="66" ht="34" customHeight="1">
      <x:c r="C66" s="2" t="str">
        <x:v>Adult grain total</x:v>
      </x:c>
      <x:c r="D66" s="51" t="n">
        <x:f>'Basis'!$D$11</x:f>
        <x:v>1.1</x:v>
      </x:c>
      <x:c r="E66" s="17" t="str">
        <x:v>quarters</x:v>
      </x:c>
      <x:c r="F66" s="17"/>
      <x:c r="G66" s="17" t="n">
        <x:f>SUM(G54:G58)</x:f>
        <x:v>0.07339033024072651</x:v>
      </x:c>
      <x:c r="H66" s="11" t="str">
        <x:v>Valued grain, not a new cash levy.</x:v>
      </x:c>
      <x:c r="I66" s="11"/>
      <x:c r="J66" s="11"/>
      <x:c r="K66" s="11"/>
      <x:c r="L66" s="11"/>
      <x:c r="M66" s="11"/>
      <x:c r="N66" s="11"/>
    </x:row>
    <x:row r="67" ht="34" customHeight="1">
      <x:c r="C67" s="2" t="str">
        <x:v>Adult food total</x:v>
      </x:c>
      <x:c r="D67" s="17" t="n">
        <x:v>1</x:v>
      </x:c>
      <x:c r="E67" s="17" t="str">
        <x:v>adult-year</x:v>
      </x:c>
      <x:c r="F67" s="17"/>
      <x:c r="G67" s="17" t="n">
        <x:f>G66+G60</x:f>
        <x:v>0.4520627958562687</x:v>
      </x:c>
      <x:c r="H67" s="11" t="str">
        <x:v>Grain plus existing other-food allowance.</x:v>
      </x:c>
      <x:c r="I67" s="11"/>
      <x:c r="J67" s="11"/>
      <x:c r="K67" s="11"/>
      <x:c r="L67" s="11"/>
      <x:c r="M67" s="11"/>
      <x:c r="N67" s="11"/>
    </x:row>
    <x:row r="68" ht="34" customHeight="1">
      <x:c r="C68" s="2" t="str">
        <x:v>Domestic support total</x:v>
      </x:c>
      <x:c r="D68" s="17" t="n">
        <x:v>1</x:v>
      </x:c>
      <x:c r="E68" s="17" t="str">
        <x:v>adult-year</x:v>
      </x:c>
      <x:c r="F68" s="17"/>
      <x:c r="G68" s="17" t="n">
        <x:f>G67+SUM(G61:G64)</x:f>
        <x:v>0.6953598550142546</x:v>
      </x:c>
      <x:c r="H68" s="11" t="str">
        <x:v>Food, clothing, fuel, light and bedding; no wages.</x:v>
      </x:c>
      <x:c r="I68" s="11"/>
      <x:c r="J68" s="11"/>
      <x:c r="K68" s="11"/>
      <x:c r="L68" s="11"/>
      <x:c r="M68" s="11"/>
      <x:c r="N68" s="11"/>
    </x:row>
    <x:row r="69" ht="34" customHeight="1">
      <x:c r="C69" s="2"/>
      <x:c r="D69" s="17"/>
      <x:c r="E69" s="17"/>
      <x:c r="F69" s="17"/>
      <x:c r="G69" s="17"/>
      <x:c r="H69" s="11"/>
      <x:c r="I69" s="11"/>
      <x:c r="J69" s="11"/>
      <x:c r="K69" s="11"/>
      <x:c r="L69" s="11"/>
      <x:c r="M69" s="11"/>
      <x:c r="N69" s="11"/>
    </x:row>
    <x:row r="70" ht="34" customHeight="1">
      <x:c r="C70" s="2" t="str">
        <x:v>Horse oats</x:v>
      </x:c>
      <x:c r="D70" s="51" t="n">
        <x:f>'Basis'!$D$17</x:f>
        <x:v>4</x:v>
      </x:c>
      <x:c r="E70" s="17" t="str">
        <x:v>quarters</x:v>
      </x:c>
      <x:c r="F70" s="51" t="n">
        <x:f>'Price Catalog'!$G$11</x:f>
        <x:v>0.045080055430421685</x:v>
      </x:c>
      <x:c r="G70" s="51" t="n">
        <x:f>D70*F70</x:f>
        <x:v>0.18032022172168674</x:v>
      </x:c>
      <x:c r="H70" s="11" t="str">
        <x:v>Ordinary stabled working horse.</x:v>
      </x:c>
      <x:c r="I70" s="11"/>
      <x:c r="J70" s="11"/>
      <x:c r="K70" s="11"/>
      <x:c r="L70" s="11"/>
      <x:c r="M70" s="11"/>
      <x:c r="N70" s="11"/>
    </x:row>
    <x:row r="71" ht="34" customHeight="1">
      <x:c r="C71" s="2" t="str">
        <x:v>Horse hay</x:v>
      </x:c>
      <x:c r="D71" s="51" t="n">
        <x:f>'Basis'!$D$18</x:f>
        <x:v>1.5</x:v>
      </x:c>
      <x:c r="E71" s="17" t="str">
        <x:v>long tons</x:v>
      </x:c>
      <x:c r="F71" s="51" t="n">
        <x:f>'Price Catalog'!$G$121</x:f>
        <x:v>0.06762008314563253</x:v>
      </x:c>
      <x:c r="G71" s="51" t="n">
        <x:f>D71*F71</x:f>
        <x:v>0.1014301247184488</x:v>
      </x:c>
      <x:c r="H71" s="11" t="str">
        <x:v>Dry stored hay.</x:v>
      </x:c>
      <x:c r="I71" s="11"/>
      <x:c r="J71" s="11"/>
      <x:c r="K71" s="11"/>
      <x:c r="L71" s="11"/>
      <x:c r="M71" s="11"/>
      <x:c r="N71" s="11"/>
    </x:row>
    <x:row r="72" ht="34" customHeight="1">
      <x:c r="C72" s="2" t="str">
        <x:v>Horse shoeing</x:v>
      </x:c>
      <x:c r="D72" s="51" t="n">
        <x:f>'Basis'!$D$19</x:f>
        <x:v>6</x:v>
      </x:c>
      <x:c r="E72" s="17" t="str">
        <x:v>fitted sets</x:v>
      </x:c>
      <x:c r="F72" s="51" t="n">
        <x:f>'Price Catalog'!$G$365</x:f>
        <x:v>0.03606404434433735</x:v>
      </x:c>
      <x:c r="G72" s="51" t="n">
        <x:f>D72*F72</x:f>
        <x:v>0.21638426606602407</x:v>
      </x:c>
      <x:c r="H72" s="11" t="str">
        <x:v>Four shoes and labour per set.</x:v>
      </x:c>
      <x:c r="I72" s="11"/>
      <x:c r="J72" s="11"/>
      <x:c r="K72" s="11"/>
      <x:c r="L72" s="11"/>
      <x:c r="M72" s="11"/>
      <x:c r="N72" s="11"/>
    </x:row>
    <x:row r="73" ht="34" customHeight="1">
      <x:c r="C73" s="2" t="str">
        <x:v>Riding-horse replacement</x:v>
      </x:c>
      <x:c r="D73" s="51" t="n">
        <x:f>'Basis'!$D$20</x:f>
        <x:v>0.12</x:v>
      </x:c>
      <x:c r="E73" s="17" t="str">
        <x:v>horse fraction</x:v>
      </x:c>
      <x:c r="F73" s="51" t="n">
        <x:f>'Price Catalog'!$G$115</x:f>
        <x:v>2.8400434921165663</x:v>
      </x:c>
      <x:c r="G73" s="51" t="n">
        <x:f>D73*F73</x:f>
        <x:v>0.3408052190539879</x:v>
      </x:c>
      <x:c r="H73" s="11" t="str">
        <x:v>Existing 12% annual replacement rule.</x:v>
      </x:c>
      <x:c r="I73" s="11"/>
      <x:c r="J73" s="11"/>
      <x:c r="K73" s="11"/>
      <x:c r="L73" s="11"/>
      <x:c r="M73" s="11"/>
      <x:c r="N73" s="11"/>
    </x:row>
    <x:row r="74" ht="34" customHeight="1">
      <x:c r="C74" s="2" t="str">
        <x:v>Riding-horse annual total</x:v>
      </x:c>
      <x:c r="D74" s="17" t="n">
        <x:v>1</x:v>
      </x:c>
      <x:c r="E74" s="17" t="str">
        <x:v>horse-year</x:v>
      </x:c>
      <x:c r="F74" s="17"/>
      <x:c r="G74" s="51" t="n">
        <x:f>SUM(G70:G73)+('Price Catalog'!$G$302+'Price Catalog'!$G$305)*0.1</x:f>
        <x:v>0.8985807448945954</x:v>
      </x:c>
      <x:c r="H74" s="11" t="str">
        <x:v>Includes 10% tack repair; no groom wages.</x:v>
      </x:c>
      <x:c r="I74" s="11"/>
      <x:c r="J74" s="11"/>
      <x:c r="K74" s="11"/>
      <x:c r="L74" s="11"/>
      <x:c r="M74" s="11"/>
      <x:c r="N74" s="11"/>
    </x:row>
    <x:row r="75" ht="34" customHeight="1">
      <x:c r="C75" s="2" t="str">
        <x:v>Courser annual total</x:v>
      </x:c>
      <x:c r="D75" s="17" t="n">
        <x:v>1</x:v>
      </x:c>
      <x:c r="E75" s="17" t="str">
        <x:v>horse-year</x:v>
      </x:c>
      <x:c r="F75" s="17"/>
      <x:c r="G75" s="51" t="n">
        <x:f>SUM(G70:G72)+'Basis'!$D$20*'Price Catalog'!$G$118+('Price Catalog'!$G$303+'Price Catalog'!$G$305)*0.1</x:f>
        <x:v>1.648352226813369</x:v>
      </x:c>
      <x:c r="H75" s="11" t="str">
        <x:v>Same base feed; courser replacement and war-tack repair.</x:v>
      </x:c>
      <x:c r="I75" s="11"/>
      <x:c r="J75" s="11"/>
      <x:c r="K75" s="11"/>
      <x:c r="L75" s="11"/>
      <x:c r="M75" s="11"/>
      <x:c r="N75" s="11"/>
    </x:row>
    <x:row r="76" ht="34" customHeight="1">
      <x:c r="C76" s="2" t="str">
        <x:v>Heavy warhorse annual total</x:v>
      </x:c>
      <x:c r="D76" s="17" t="n">
        <x:v>1</x:v>
      </x:c>
      <x:c r="E76" s="17" t="str">
        <x:v>horse-year</x:v>
      </x:c>
      <x:c r="F76" s="17"/>
      <x:c r="G76" s="51" t="n">
        <x:f>SUM(G70:G72)*1.25+'Basis'!$D$20*'Price Catalog'!$G$119+('Price Catalog'!$G$303+'Price Catalog'!$G$305)*0.1</x:f>
        <x:v>3.1361067561558604</x:v>
      </x:c>
      <x:c r="H76" s="11" t="str">
        <x:v>25% more feed and shoeing allowance; heavy mount replacement.</x:v>
      </x:c>
      <x:c r="I76" s="11"/>
      <x:c r="J76" s="11"/>
      <x:c r="K76" s="11"/>
      <x:c r="L76" s="11"/>
      <x:c r="M76" s="11"/>
      <x:c r="N76" s="11"/>
    </x:row>
    <x:row r="77" ht="26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6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6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6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6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6" customHeight="1"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</x:sheetData>
  <x:mergeCells>
    <x:mergeCell ref="C2:J2"/>
    <x:mergeCell ref="C4:J4"/>
    <x:mergeCell ref="C48:J48"/>
    <x:mergeCell ref="C51:J51"/>
    <x:mergeCell ref="H53:N53"/>
    <x:mergeCell ref="H54:N54"/>
    <x:mergeCell ref="H55:N55"/>
    <x:mergeCell ref="H56:N56"/>
    <x:mergeCell ref="H57:N57"/>
    <x:mergeCell ref="H58:N58"/>
    <x:mergeCell ref="H59:N59"/>
    <x:mergeCell ref="H60:N60"/>
    <x:mergeCell ref="H61:N61"/>
    <x:mergeCell ref="H62:N62"/>
    <x:mergeCell ref="H63:N63"/>
    <x:mergeCell ref="H64:N64"/>
    <x:mergeCell ref="H65:N65"/>
    <x:mergeCell ref="H66:N66"/>
    <x:mergeCell ref="H67:N67"/>
    <x:mergeCell ref="H68:N68"/>
    <x:mergeCell ref="H69:N69"/>
    <x:mergeCell ref="H70:N70"/>
    <x:mergeCell ref="H71:N71"/>
    <x:mergeCell ref="H72:N72"/>
    <x:mergeCell ref="H73:N73"/>
    <x:mergeCell ref="H74:N74"/>
    <x:mergeCell ref="H75:N75"/>
    <x:mergeCell ref="H76:N7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89493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12" hidden="0" customWidth="1"/>
    <x:col min="5" max="5" width="17" hidden="0" customWidth="1"/>
    <x:col min="6" max="6" width="17" hidden="0" customWidth="1"/>
    <x:col min="7" max="7" width="17" hidden="0" customWidth="1"/>
    <x:col min="8" max="8" width="18" hidden="0" customWidth="1"/>
    <x:col min="9" max="9" width="20" hidden="0" customWidth="1"/>
    <x:col min="10" max="10" width="20" hidden="0" customWidth="1"/>
    <x:col min="11" max="11" width="18" hidden="0" customWidth="1"/>
    <x:col min="12" max="12" width="20" hidden="0" customWidth="1"/>
    <x:col min="13" max="13" width="22" hidden="0" customWidth="1"/>
    <x:col min="14" max="14" width="22" hidden="0" customWidth="1"/>
    <x:col min="15" max="15" width="63" hidden="0" customWidth="1"/>
  </x:cols>
  <x:sheetData>
    <x:row r="1" ht="26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8" customHeight="1">
      <x:c r="C2" s="3" t="str">
        <x:v>Military purchase and annual upkeep</x:v>
      </x:c>
      <x:c r="D2" s="3"/>
      <x:c r="E2" s="3"/>
      <x:c r="F2" s="3"/>
      <x:c r="G2" s="3"/>
      <x:c r="H2" s="3"/>
      <x:c r="I2" s="3"/>
      <x:c r="J2" s="3"/>
      <x:c r="K2" s="2"/>
      <x:c r="L2" s="2"/>
      <x:c r="M2" s="2"/>
      <x:c r="N2" s="2"/>
      <x:c r="O2" s="2"/>
    </x:row>
    <x:row r="3" ht="26" customHeight="1"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46" customHeight="1">
      <x:c r="C4" s="5" t="str">
        <x:v>Annual garrison and field budgets, plus separate equipment and mount purchases. Field columns assume a full year; the 90-day line below is an operating allocation.</x:v>
      </x:c>
      <x:c r="D4" s="5"/>
      <x:c r="E4" s="5"/>
      <x:c r="F4" s="5"/>
      <x:c r="G4" s="5"/>
      <x:c r="H4" s="5"/>
      <x:c r="I4" s="5"/>
      <x:c r="J4" s="5"/>
      <x:c r="K4" s="2"/>
      <x:c r="L4" s="2"/>
      <x:c r="M4" s="2"/>
      <x:c r="N4" s="2"/>
      <x:c r="O4" s="2"/>
    </x:row>
    <x:row r="5" ht="26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0" customHeight="1">
      <x:c r="C6" s="8" t="str">
        <x:v>Unit</x:v>
      </x:c>
      <x:c r="D6" s="8" t="str">
        <x:v>Troops</x:v>
      </x:c>
      <x:c r="E6" s="8" t="str">
        <x:v>Cash pay GD</x:v>
      </x:c>
      <x:c r="F6" s="8" t="str">
        <x:v>Food GD</x:v>
      </x:c>
      <x:c r="G6" s="8" t="str">
        <x:v>Clothing / fuel / bed GD</x:v>
      </x:c>
      <x:c r="H6" s="8" t="str">
        <x:v>Arms upkeep GD</x:v>
      </x:c>
      <x:c r="I6" s="8" t="str">
        <x:v>Horses upkeep GD</x:v>
      </x:c>
      <x:c r="J6" s="8" t="str">
        <x:v>Garrison total GD</x:v>
      </x:c>
      <x:c r="K6" s="8" t="str">
        <x:v>Field extras GD</x:v>
      </x:c>
      <x:c r="L6" s="8" t="str">
        <x:v>Field total GD</x:v>
      </x:c>
      <x:c r="M6" s="8" t="str">
        <x:v>Initial equipment GD</x:v>
      </x:c>
      <x:c r="N6" s="8" t="str">
        <x:v>Initial mounts GD</x:v>
      </x:c>
      <x:c r="O6" s="8" t="str">
        <x:v>Scope</x:v>
      </x:c>
    </x:row>
    <x:row r="7" ht="45" customHeight="1">
      <x:c r="C7" s="2" t="str">
        <x:v>Foot retainers</x:v>
      </x:c>
      <x:c r="D7" s="9" t="n">
        <x:v>100</x:v>
      </x:c>
      <x:c r="E7" s="52" t="n">
        <x:f>D7*'Wages and Rations'!$F$36</x:f>
        <x:v>378.67246561554214</x:v>
      </x:c>
      <x:c r="F7" s="52" t="n">
        <x:f>D7*'Wages and Rations'!$G$67</x:f>
        <x:v>45.206279585626866</x:v>
      </x:c>
      <x:c r="G7" s="52" t="n">
        <x:f>D7*SUM('Basis'!$F$85,'Wages and Rations'!$G$62,'Wages and Rations'!$G$63,'Wages and Rations'!$G$64)</x:f>
        <x:v>24.329705915798584</x:v>
      </x:c>
      <x:c r="H7" s="52" t="n">
        <x:f>D7*'Basis'!$F$86*1</x:f>
        <x:v>28.40043492116566</x:v>
      </x:c>
      <x:c r="I7" s="18" t="n">
        <x:v>0</x:v>
      </x:c>
      <x:c r="J7" s="18" t="n">
        <x:f>SUM(E7:I7)</x:f>
        <x:v>476.6088860381332</x:v>
      </x:c>
      <x:c r="K7" s="52" t="n">
        <x:f>E7*'Basis'!$D$21+F7*'Basis'!$D$22</x:f>
        <x:v>103.7093723210109</x:v>
      </x:c>
      <x:c r="L7" s="18" t="n">
        <x:f>J7+K7</x:f>
        <x:v>580.3182583591441</x:v>
      </x:c>
      <x:c r="M7" s="52" t="n">
        <x:f>D7*('Price Catalog'!$G$277+'Price Catalog'!$G$288+'Price Catalog'!$G$289+'Price Catalog'!$G$290+'Price Catalog'!$G$223+'Price Catalog'!$G$154+'Price Catalog'!$G$157+'Price Catalog'!$G$175)</x:f>
        <x:v>153.36234857429457</x:v>
      </x:c>
      <x:c r="N7" s="18" t="n">
        <x:v>0</x:v>
      </x:c>
      <x:c r="O7" s="11" t="str">
        <x:v>Costs cover the listed troops. The combined force below adds its wagon train; its knights also serve as officers.</x:v>
      </x:c>
    </x:row>
    <x:row r="8" ht="45" customHeight="1">
      <x:c r="C8" s="12" t="str">
        <x:v>Archers</x:v>
      </x:c>
      <x:c r="D8" s="57" t="n">
        <x:v>100</x:v>
      </x:c>
      <x:c r="E8" s="62" t="n">
        <x:f>D8*'Wages and Rations'!$F$37</x:f>
        <x:v>416.5397121770964</x:v>
      </x:c>
      <x:c r="F8" s="62" t="n">
        <x:f>D8*'Wages and Rations'!$G$67</x:f>
        <x:v>45.206279585626866</x:v>
      </x:c>
      <x:c r="G8" s="62" t="n">
        <x:f>D8*SUM('Basis'!$F$85,'Wages and Rations'!$G$62,'Wages and Rations'!$G$63,'Wages and Rations'!$G$64)</x:f>
        <x:v>24.329705915798584</x:v>
      </x:c>
      <x:c r="H8" s="62" t="n">
        <x:f>D8*'Basis'!$F$86*1.25</x:f>
        <x:v>35.50054365145708</x:v>
      </x:c>
      <x:c r="I8" s="25" t="n">
        <x:v>0</x:v>
      </x:c>
      <x:c r="J8" s="25" t="n">
        <x:f>SUM(E8:I8)</x:f>
        <x:v>521.576241329979</x:v>
      </x:c>
      <x:c r="K8" s="62" t="n">
        <x:f>E8*'Basis'!$D$21+F8*'Basis'!$D$22+D8*8*'Price Catalog'!$G$286</x:f>
        <x:v>188.9106770845079</x:v>
      </x:c>
      <x:c r="L8" s="25" t="n">
        <x:f>J8+K8</x:f>
        <x:v>710.4869184144869</x:v>
      </x:c>
      <x:c r="M8" s="62" t="n">
        <x:f>D8*('Price Catalog'!$G$283+'Price Catalog'!$G$286+'Price Catalog'!$G$286+'Price Catalog'!$G$286+'Price Catalog'!$G$286+'Price Catalog'!$G$289+'Price Catalog'!$G$290+'Price Catalog'!$G$223+'Price Catalog'!$G$154+'Price Catalog'!$G$157+'Price Catalog'!$G$175)</x:f>
        <x:v>186.4961893156545</x:v>
      </x:c>
      <x:c r="N8" s="25" t="n">
        <x:v>0</x:v>
      </x:c>
      <x:c r="O8" s="61" t="str">
        <x:v>Costs cover the listed troops. The combined force below adds its wagon train; its knights also serve as officers.</x:v>
      </x:c>
    </x:row>
    <x:row r="9" ht="45" customHeight="1">
      <x:c r="C9" s="2" t="str">
        <x:v>Longbow specialists</x:v>
      </x:c>
      <x:c r="D9" s="9" t="n">
        <x:v>100</x:v>
      </x:c>
      <x:c r="E9" s="52" t="n">
        <x:f>D9*'Wages and Rations'!$F$38</x:f>
        <x:v>492.27420530020487</x:v>
      </x:c>
      <x:c r="F9" s="52" t="n">
        <x:f>D9*'Wages and Rations'!$G$67</x:f>
        <x:v>45.206279585626866</x:v>
      </x:c>
      <x:c r="G9" s="52" t="n">
        <x:f>D9*SUM('Basis'!$F$85,'Wages and Rations'!$G$62,'Wages and Rations'!$G$63,'Wages and Rations'!$G$64)</x:f>
        <x:v>24.329705915798584</x:v>
      </x:c>
      <x:c r="H9" s="52" t="n">
        <x:f>D9*'Basis'!$F$86*1.4</x:f>
        <x:v>39.760608889631925</x:v>
      </x:c>
      <x:c r="I9" s="18" t="n">
        <x:v>0</x:v>
      </x:c>
      <x:c r="J9" s="18" t="n">
        <x:f>SUM(E9:I9)</x:f>
        <x:v>601.5707996912623</x:v>
      </x:c>
      <x:c r="K9" s="52" t="n">
        <x:f>E9*'Basis'!$D$21+F9*'Basis'!$D$22+D9*8*'Price Catalog'!$G$286</x:f>
        <x:v>207.84430036528505</x:v>
      </x:c>
      <x:c r="L9" s="18" t="n">
        <x:f>J9+K9</x:f>
        <x:v>809.4151000565473</x:v>
      </x:c>
      <x:c r="M9" s="52" t="n">
        <x:f>D9*('Price Catalog'!$G$284+'Price Catalog'!$G$286+'Price Catalog'!$G$286+'Price Catalog'!$G$286+'Price Catalog'!$G$286+'Price Catalog'!$G$289+'Price Catalog'!$G$290+'Price Catalog'!$G$223+'Price Catalog'!$G$154+'Price Catalog'!$G$157+'Price Catalog'!$G$175)</x:f>
        <x:v>219.63003005701447</x:v>
      </x:c>
      <x:c r="N9" s="18" t="n">
        <x:v>0</x:v>
      </x:c>
      <x:c r="O9" s="11" t="str">
        <x:v>Costs cover the listed troops. The combined force below adds its wagon train; its knights also serve as officers.</x:v>
      </x:c>
    </x:row>
    <x:row r="10" ht="45" customHeight="1">
      <x:c r="C10" s="12" t="str">
        <x:v>Men-at-arms on foot</x:v>
      </x:c>
      <x:c r="D10" s="57" t="n">
        <x:v>100</x:v>
      </x:c>
      <x:c r="E10" s="62" t="n">
        <x:f>D10*'Wages and Rations'!$F$39</x:f>
        <x:v>605.8759449848675</x:v>
      </x:c>
      <x:c r="F10" s="62" t="n">
        <x:f>D10*'Wages and Rations'!$G$67</x:f>
        <x:v>45.206279585626866</x:v>
      </x:c>
      <x:c r="G10" s="62" t="n">
        <x:f>D10*SUM('Basis'!$F$85,'Wages and Rations'!$G$62,'Wages and Rations'!$G$63,'Wages and Rations'!$G$64)</x:f>
        <x:v>24.329705915798584</x:v>
      </x:c>
      <x:c r="H10" s="62" t="n">
        <x:f>D10*'Basis'!$F$86*2</x:f>
        <x:v>56.80086984233132</x:v>
      </x:c>
      <x:c r="I10" s="25" t="n">
        <x:v>0</x:v>
      </x:c>
      <x:c r="J10" s="25" t="n">
        <x:f>SUM(E10:I10)</x:f>
        <x:v>732.2128003286242</x:v>
      </x:c>
      <x:c r="K10" s="62" t="n">
        <x:f>E10*'Basis'!$D$21+F10*'Basis'!$D$22</x:f>
        <x:v>160.51024216334224</x:v>
      </x:c>
      <x:c r="L10" s="25" t="n">
        <x:f>J10+K10</x:f>
        <x:v>892.7230424919665</x:v>
      </x:c>
      <x:c r="M10" s="62" t="n">
        <x:f>D10*('Price Catalog'!$G$273+'Price Catalog'!$G$274+'Price Catalog'!$G$289+'Price Catalog'!$G$288+'Price Catalog'!$G$290+'Price Catalog'!$G$223+'Price Catalog'!$G$154+'Price Catalog'!$G$157+'Price Catalog'!$G$175)</x:f>
        <x:v>615.3427566252561</x:v>
      </x:c>
      <x:c r="N10" s="25" t="n">
        <x:v>0</x:v>
      </x:c>
      <x:c r="O10" s="61" t="str">
        <x:v>Costs cover the listed troops. The combined force below adds its wagon train; its knights also serve as officers.</x:v>
      </x:c>
    </x:row>
    <x:row r="11" ht="45" customHeight="1">
      <x:c r="C11" s="2" t="str">
        <x:v>Mounted retainers</x:v>
      </x:c>
      <x:c r="D11" s="9" t="n">
        <x:v>100</x:v>
      </x:c>
      <x:c r="E11" s="52" t="n">
        <x:f>D11*'Wages and Rations'!$F$40</x:f>
        <x:v>757.3449312310843</x:v>
      </x:c>
      <x:c r="F11" s="52" t="n">
        <x:f>D11*'Wages and Rations'!$G$67</x:f>
        <x:v>45.206279585626866</x:v>
      </x:c>
      <x:c r="G11" s="52" t="n">
        <x:f>D11*SUM('Basis'!$F$85,'Wages and Rations'!$G$62,'Wages and Rations'!$G$63,'Wages and Rations'!$G$64)</x:f>
        <x:v>24.329705915798584</x:v>
      </x:c>
      <x:c r="H11" s="52" t="n">
        <x:f>D11*'Basis'!$F$86*1</x:f>
        <x:v>28.40043492116566</x:v>
      </x:c>
      <x:c r="I11" s="52" t="n">
        <x:f>D11*'Wages and Rations'!$G$74</x:f>
        <x:v>89.85807448945954</x:v>
      </x:c>
      <x:c r="J11" s="18" t="n">
        <x:f>SUM(E11:I11)</x:f>
        <x:v>945.139426143135</x:v>
      </x:c>
      <x:c r="K11" s="52" t="n">
        <x:f>E11*'Basis'!$D$21+F11*'Basis'!$D$22</x:f>
        <x:v>198.37748872489644</x:v>
      </x:c>
      <x:c r="L11" s="18" t="n">
        <x:f>J11+K11</x:f>
        <x:v>1143.5169148680313</x:v>
      </x:c>
      <x:c r="M11" s="52" t="n">
        <x:f>D11*('Price Catalog'!$G$273+'Price Catalog'!$G$274+'Price Catalog'!$G$289+'Price Catalog'!$G$288+'Price Catalog'!$G$290+'Price Catalog'!$G$154+'Price Catalog'!$G$157+'Price Catalog'!$G$175+'Price Catalog'!$G$302+'Price Catalog'!$G$305)</x:f>
        <x:v>667.4102206473932</x:v>
      </x:c>
      <x:c r="N11" s="52" t="n">
        <x:f>D11*'Price Catalog'!$G$115</x:f>
        <x:v>284.00434921165663</x:v>
      </x:c>
      <x:c r="O11" s="11" t="str">
        <x:v>Costs cover the listed troops. The combined force below adds its wagon train; its knights also serve as officers.</x:v>
      </x:c>
    </x:row>
    <x:row r="12" ht="45" customHeight="1">
      <x:c r="C12" s="12" t="str">
        <x:v>Household knights</x:v>
      </x:c>
      <x:c r="D12" s="57" t="n">
        <x:v>100</x:v>
      </x:c>
      <x:c r="E12" s="62" t="n">
        <x:f>D12*'Wages and Rations'!$F$41</x:f>
        <x:v>1514.6898624621685</x:v>
      </x:c>
      <x:c r="F12" s="62" t="n">
        <x:f>D12*'Wages and Rations'!$G$67</x:f>
        <x:v>45.206279585626866</x:v>
      </x:c>
      <x:c r="G12" s="62" t="n">
        <x:f>D12*SUM('Basis'!$F$85,'Wages and Rations'!$G$62,'Wages and Rations'!$G$63,'Wages and Rations'!$G$64)</x:f>
        <x:v>24.329705915798584</x:v>
      </x:c>
      <x:c r="H12" s="62" t="n">
        <x:f>D12*'Basis'!$F$86*3</x:f>
        <x:v>85.20130476349698</x:v>
      </x:c>
      <x:c r="I12" s="62" t="n">
        <x:f>D12*'Wages and Rations'!$G$75</x:f>
        <x:v>164.83522268133692</x:v>
      </x:c>
      <x:c r="J12" s="25" t="n">
        <x:f>SUM(E12:I12)</x:f>
        <x:v>1834.2623754084277</x:v>
      </x:c>
      <x:c r="K12" s="62" t="n">
        <x:f>E12*'Basis'!$D$21+F12*'Basis'!$D$22</x:f>
        <x:v>387.71372153266753</x:v>
      </x:c>
      <x:c r="L12" s="25" t="n">
        <x:f>J12+K12</x:f>
        <x:v>2221.9760969410954</x:v>
      </x:c>
      <x:c r="M12" s="62" t="n">
        <x:f>D12*('Price Catalog'!$G$275+'Price Catalog'!$G$294+'Price Catalog'!$G$288+'Price Catalog'!$G$290+'Price Catalog'!$G$154+'Price Catalog'!$G$157+'Price Catalog'!$G$175+'Price Catalog'!$G$303+'Price Catalog'!$G$305)</x:f>
        <x:v>1592.317717913355</x:v>
      </x:c>
      <x:c r="N12" s="62" t="n">
        <x:f>D12*'Price Catalog'!$G$118</x:f>
        <x:v>852.0130476349699</x:v>
      </x:c>
      <x:c r="O12" s="61" t="str">
        <x:v>Costs cover the listed troops. The combined force below adds its wagon train; its knights also serve as officers.</x:v>
      </x:c>
    </x:row>
    <x:row r="13" ht="45" customHeight="1">
      <x:c r="C13" s="2" t="str">
        <x:v>Knights on heavy warhorses</x:v>
      </x:c>
      <x:c r="D13" s="9" t="n">
        <x:v>100</x:v>
      </x:c>
      <x:c r="E13" s="52" t="n">
        <x:f>D13*'Wages and Rations'!$F$41</x:f>
        <x:v>1514.6898624621685</x:v>
      </x:c>
      <x:c r="F13" s="52" t="n">
        <x:f>D13*'Wages and Rations'!$G$67</x:f>
        <x:v>45.206279585626866</x:v>
      </x:c>
      <x:c r="G13" s="52" t="n">
        <x:f>D13*SUM('Basis'!$F$85,'Wages and Rations'!$G$62,'Wages and Rations'!$G$63,'Wages and Rations'!$G$64)</x:f>
        <x:v>24.329705915798584</x:v>
      </x:c>
      <x:c r="H13" s="52" t="n">
        <x:f>D13*'Basis'!$F$86*3</x:f>
        <x:v>85.20130476349698</x:v>
      </x:c>
      <x:c r="I13" s="52" t="n">
        <x:f>D13*'Wages and Rations'!$G$76</x:f>
        <x:v>313.61067561558605</x:v>
      </x:c>
      <x:c r="J13" s="18" t="n">
        <x:f>SUM(E13:I13)</x:f>
        <x:v>1983.0378283426767</x:v>
      </x:c>
      <x:c r="K13" s="52" t="n">
        <x:f>E13*'Basis'!$D$21+F13*'Basis'!$D$22</x:f>
        <x:v>387.71372153266753</x:v>
      </x:c>
      <x:c r="L13" s="18" t="n">
        <x:f>J13+K13</x:f>
        <x:v>2370.751549875344</x:v>
      </x:c>
      <x:c r="M13" s="52" t="n">
        <x:f>D13*('Price Catalog'!$G$275+'Price Catalog'!$G$294+'Price Catalog'!$G$288+'Price Catalog'!$G$290+'Price Catalog'!$G$154+'Price Catalog'!$G$157+'Price Catalog'!$G$175+'Price Catalog'!$G$303+'Price Catalog'!$G$305)</x:f>
        <x:v>1592.317717913355</x:v>
      </x:c>
      <x:c r="N13" s="52" t="n">
        <x:f>D13*'Price Catalog'!$G$119</x:f>
        <x:v>1988.0304444815963</x:v>
      </x:c>
      <x:c r="O13" s="11" t="str">
        <x:v>Costs cover the listed troops. The combined force below adds its wagon train; its knights also serve as officers.</x:v>
      </x:c>
    </x:row>
    <x:row r="14" ht="26" customHeight="1">
      <x:c r="C14" s="2"/>
      <x:c r="D14" s="2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2"/>
    </x:row>
    <x:row r="15" ht="42" customHeight="1">
      <x:c r="C15" s="5" t="str">
        <x:v>Arms upkeep is an annual repair/replacement budget. Initial equipment is purchased only when raising or re-equipping the unit. Armourers, food and base arms prices follow the same catalog; landed incomes of knights are not wages.</x:v>
      </x:c>
      <x:c r="D15" s="5"/>
      <x:c r="E15" s="24"/>
      <x:c r="F15" s="24"/>
      <x:c r="G15" s="24"/>
      <x:c r="H15" s="24"/>
      <x:c r="I15" s="24"/>
      <x:c r="J15" s="24"/>
      <x:c r="K15" s="18"/>
      <x:c r="L15" s="18"/>
      <x:c r="M15" s="18"/>
      <x:c r="N15" s="18"/>
      <x:c r="O15" s="2"/>
    </x:row>
    <x:row r="16" ht="26" customHeight="1">
      <x:c r="C16" s="2"/>
      <x:c r="D16" s="2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2"/>
    </x:row>
    <x:row r="17" ht="42" customHeight="1">
      <x:c r="C17" s="5" t="str">
        <x:v>Field extras add 25% cash pay and 20% food procurement/wastage. Bow units also receive 192 replacement arrows per man-year. Siege trains, casualties, exceptional horse losses and sea transport require separate orders.</x:v>
      </x:c>
      <x:c r="D17" s="5"/>
      <x:c r="E17" s="24"/>
      <x:c r="F17" s="24"/>
      <x:c r="G17" s="24"/>
      <x:c r="H17" s="24"/>
      <x:c r="I17" s="24"/>
      <x:c r="J17" s="24"/>
      <x:c r="K17" s="18"/>
      <x:c r="L17" s="18"/>
      <x:c r="M17" s="18"/>
      <x:c r="N17" s="18"/>
      <x:c r="O17" s="2"/>
    </x:row>
    <x:row r="18" ht="26" customHeight="1">
      <x:c r="C18" s="2"/>
      <x:c r="D18" s="2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2"/>
    </x:row>
    <x:row r="19" ht="26" customHeight="1">
      <x:c r="C19" s="2"/>
      <x:c r="D19" s="2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2"/>
    </x:row>
    <x:row r="20" ht="31" customHeight="1">
      <x:c r="C20" s="13" t="str">
        <x:v>1,000 combatants and a 150-person supply train</x:v>
      </x:c>
      <x:c r="D20" s="13"/>
      <x:c r="E20" s="26"/>
      <x:c r="F20" s="26"/>
      <x:c r="G20" s="26"/>
      <x:c r="H20" s="26"/>
      <x:c r="I20" s="26"/>
      <x:c r="J20" s="26"/>
      <x:c r="K20" s="18"/>
      <x:c r="L20" s="18"/>
      <x:c r="M20" s="18"/>
      <x:c r="N20" s="18"/>
      <x:c r="O20" s="2"/>
    </x:row>
    <x:row r="21" ht="26" customHeight="1">
      <x:c r="C21" s="2"/>
      <x:c r="D21" s="2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2"/>
    </x:row>
    <x:row r="22" ht="40" customHeight="1">
      <x:c r="C22" s="8" t="str">
        <x:v>Formation</x:v>
      </x:c>
      <x:c r="D22" s="8" t="str">
        <x:v>Number</x:v>
      </x:c>
      <x:c r="E22" s="29" t="str">
        <x:v>Cash pay GD</x:v>
      </x:c>
      <x:c r="F22" s="29" t="str">
        <x:v>Food GD</x:v>
      </x:c>
      <x:c r="G22" s="29" t="str">
        <x:v>Clothing / fuel / bed GD</x:v>
      </x:c>
      <x:c r="H22" s="29" t="str">
        <x:v>Equipment upkeep GD</x:v>
      </x:c>
      <x:c r="I22" s="29" t="str">
        <x:v>Horse upkeep GD</x:v>
      </x:c>
      <x:c r="J22" s="29" t="str">
        <x:v>Base annual GD</x:v>
      </x:c>
      <x:c r="K22" s="29" t="str">
        <x:v>Field extras GD</x:v>
      </x:c>
      <x:c r="L22" s="29" t="str">
        <x:v>Field annual GD</x:v>
      </x:c>
      <x:c r="M22" s="29" t="str">
        <x:v>Initial equipment GD</x:v>
      </x:c>
      <x:c r="N22" s="29" t="str">
        <x:v>Initial mounts GD</x:v>
      </x:c>
      <x:c r="O22" s="8" t="str">
        <x:v>Composition</x:v>
      </x:c>
    </x:row>
    <x:row r="23" ht="40" customHeight="1">
      <x:c r="C23" s="2" t="str">
        <x:v>800 foot retainers</x:v>
      </x:c>
      <x:c r="D23" s="2" t="n">
        <x:v>800</x:v>
      </x:c>
      <x:c r="E23" s="18" t="n">
        <x:f>D23*E7/$D$7</x:f>
        <x:v>3029.3797249243376</x:v>
      </x:c>
      <x:c r="F23" s="18" t="n">
        <x:f>D23*F7/$D$7</x:f>
        <x:v>361.6502366850149</x:v>
      </x:c>
      <x:c r="G23" s="18" t="n">
        <x:f>D23*G7/$D$7</x:f>
        <x:v>194.63764732638867</x:v>
      </x:c>
      <x:c r="H23" s="18" t="n">
        <x:f>D23*H7/$D$7</x:f>
        <x:v>227.2034793693253</x:v>
      </x:c>
      <x:c r="I23" s="18" t="n">
        <x:f>D23*I7/$D$7</x:f>
        <x:v>0</x:v>
      </x:c>
      <x:c r="J23" s="18" t="n">
        <x:f>D23*J7/$D$7</x:f>
        <x:v>3812.8710883050658</x:v>
      </x:c>
      <x:c r="K23" s="18" t="n">
        <x:f>D23*K7/$D$7</x:f>
        <x:v>829.6749785680872</x:v>
      </x:c>
      <x:c r="L23" s="18" t="n">
        <x:f>D23*L7/$D$7</x:f>
        <x:v>4642.546066873153</x:v>
      </x:c>
      <x:c r="M23" s="18" t="n">
        <x:f>D23*M7/$D$7</x:f>
        <x:v>1226.8987885943566</x:v>
      </x:c>
      <x:c r="N23" s="18" t="n">
        <x:f>D23*N7/$D$7</x:f>
        <x:v>0</x:v>
      </x:c>
      <x:c r="O23" s="11" t="str">
        <x:v>1,000 fighting troops across these four rows.</x:v>
      </x:c>
    </x:row>
    <x:row r="24" ht="40" customHeight="1">
      <x:c r="C24" s="2" t="str">
        <x:v>100 archers</x:v>
      </x:c>
      <x:c r="D24" s="2" t="n">
        <x:v>100</x:v>
      </x:c>
      <x:c r="E24" s="18" t="n">
        <x:f>D24*E8/$D$8</x:f>
        <x:v>416.5397121770964</x:v>
      </x:c>
      <x:c r="F24" s="18" t="n">
        <x:f>D24*F8/$D$8</x:f>
        <x:v>45.20627958562686</x:v>
      </x:c>
      <x:c r="G24" s="18" t="n">
        <x:f>D24*G8/$D$8</x:f>
        <x:v>24.329705915798584</x:v>
      </x:c>
      <x:c r="H24" s="18" t="n">
        <x:f>D24*H8/$D$8</x:f>
        <x:v>35.50054365145708</x:v>
      </x:c>
      <x:c r="I24" s="18" t="n">
        <x:f>D24*I8/$D$8</x:f>
        <x:v>0</x:v>
      </x:c>
      <x:c r="J24" s="18" t="n">
        <x:f>D24*J8/$D$8</x:f>
        <x:v>521.576241329979</x:v>
      </x:c>
      <x:c r="K24" s="18" t="n">
        <x:f>D24*K8/$D$8</x:f>
        <x:v>188.9106770845079</x:v>
      </x:c>
      <x:c r="L24" s="18" t="n">
        <x:f>D24*L8/$D$8</x:f>
        <x:v>710.4869184144868</x:v>
      </x:c>
      <x:c r="M24" s="18" t="n">
        <x:f>D24*M8/$D$8</x:f>
        <x:v>186.49618931565453</x:v>
      </x:c>
      <x:c r="N24" s="18" t="n">
        <x:f>D24*N8/$D$8</x:f>
        <x:v>0</x:v>
      </x:c>
      <x:c r="O24" s="11" t="str">
        <x:v>1,000 fighting troops across these four rows.</x:v>
      </x:c>
    </x:row>
    <x:row r="25" ht="40" customHeight="1">
      <x:c r="C25" s="2" t="str">
        <x:v>80 mounted retainers</x:v>
      </x:c>
      <x:c r="D25" s="2" t="n">
        <x:v>80</x:v>
      </x:c>
      <x:c r="E25" s="18" t="n">
        <x:f>D25*E11/$D$11</x:f>
        <x:v>605.8759449848674</x:v>
      </x:c>
      <x:c r="F25" s="18" t="n">
        <x:f>D25*F11/$D$11</x:f>
        <x:v>36.1650236685015</x:v>
      </x:c>
      <x:c r="G25" s="18" t="n">
        <x:f>D25*G11/$D$11</x:f>
        <x:v>19.463764732638868</x:v>
      </x:c>
      <x:c r="H25" s="18" t="n">
        <x:f>D25*H11/$D$11</x:f>
        <x:v>22.72034793693253</x:v>
      </x:c>
      <x:c r="I25" s="18" t="n">
        <x:f>D25*I11/$D$11</x:f>
        <x:v>71.88645959156764</x:v>
      </x:c>
      <x:c r="J25" s="18" t="n">
        <x:f>D25*J11/$D$11</x:f>
        <x:v>756.1115409145079</x:v>
      </x:c>
      <x:c r="K25" s="18" t="n">
        <x:f>D25*K11/$D$11</x:f>
        <x:v>158.70199097991716</x:v>
      </x:c>
      <x:c r="L25" s="18" t="n">
        <x:f>D25*L11/$D$11</x:f>
        <x:v>914.8135318944251</x:v>
      </x:c>
      <x:c r="M25" s="18" t="n">
        <x:f>D25*M11/$D$11</x:f>
        <x:v>533.9281765179145</x:v>
      </x:c>
      <x:c r="N25" s="18" t="n">
        <x:f>D25*N11/$D$11</x:f>
        <x:v>227.2034793693253</x:v>
      </x:c>
      <x:c r="O25" s="11" t="str">
        <x:v>1,000 fighting troops across these four rows.</x:v>
      </x:c>
    </x:row>
    <x:row r="26" ht="40" customHeight="1">
      <x:c r="C26" s="2" t="str">
        <x:v>20 household knights</x:v>
      </x:c>
      <x:c r="D26" s="2" t="n">
        <x:v>20</x:v>
      </x:c>
      <x:c r="E26" s="18" t="n">
        <x:f>D26*E12/$D$12</x:f>
        <x:v>302.9379724924337</x:v>
      </x:c>
      <x:c r="F26" s="18" t="n">
        <x:f>D26*F12/$D$12</x:f>
        <x:v>9.041255917125374</x:v>
      </x:c>
      <x:c r="G26" s="18" t="n">
        <x:f>D26*G12/$D$12</x:f>
        <x:v>4.865941183159717</x:v>
      </x:c>
      <x:c r="H26" s="18" t="n">
        <x:f>D26*H12/$D$12</x:f>
        <x:v>17.040260952699395</x:v>
      </x:c>
      <x:c r="I26" s="18" t="n">
        <x:f>D26*I12/$D$12</x:f>
        <x:v>32.96704453626739</x:v>
      </x:c>
      <x:c r="J26" s="18" t="n">
        <x:f>D26*J12/$D$12</x:f>
        <x:v>366.85247508168555</x:v>
      </x:c>
      <x:c r="K26" s="18" t="n">
        <x:f>D26*K12/$D$12</x:f>
        <x:v>77.5427443065335</x:v>
      </x:c>
      <x:c r="L26" s="18" t="n">
        <x:f>D26*L12/$D$12</x:f>
        <x:v>444.3952193882191</x:v>
      </x:c>
      <x:c r="M26" s="18" t="n">
        <x:f>D26*M12/$D$12</x:f>
        <x:v>318.463543582671</x:v>
      </x:c>
      <x:c r="N26" s="18" t="n">
        <x:f>D26*N12/$D$12</x:f>
        <x:v>170.40260952699398</x:v>
      </x:c>
      <x:c r="O26" s="11" t="str">
        <x:v>1,000 fighting troops across these four rows.</x:v>
      </x:c>
    </x:row>
    <x:row r="27" ht="40" customHeight="1">
      <x:c r="C27" s="2"/>
      <x:c r="D27" s="2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1"/>
    </x:row>
    <x:row r="28" ht="40" customHeight="1">
      <x:c r="C28" s="2" t="str">
        <x:v>Supply workers</x:v>
      </x:c>
      <x:c r="D28" s="2" t="n">
        <x:v>150</x:v>
      </x:c>
      <x:c r="E28" s="52" t="n">
        <x:f>D28*'Wages and Rations'!$F$9</x:f>
        <x:v>127.80195714524548</x:v>
      </x:c>
      <x:c r="F28" s="52" t="n">
        <x:f>D28*'Wages and Rations'!$G$67</x:f>
        <x:v>67.8094193784403</x:v>
      </x:c>
      <x:c r="G28" s="52" t="n">
        <x:f>D28*'Basis'!$F$85</x:f>
        <x:v>28.400434921165665</x:v>
      </x:c>
      <x:c r="H28" s="52" t="n">
        <x:f>D28*SUM('Wages and Rations'!$G$62,'Wages and Rations'!$G$63,'Wages and Rations'!$G$64)</x:f>
        <x:v>8.094123952532215</x:v>
      </x:c>
      <x:c r="I28" s="18" t="n">
        <x:v>0</x:v>
      </x:c>
      <x:c r="J28" s="18" t="n">
        <x:f>SUM(E28:I28)</x:f>
        <x:v>232.10593539738366</x:v>
      </x:c>
      <x:c r="K28" s="52" t="n">
        <x:f>E28*'Basis'!$D$21+F28*'Basis'!$D$22</x:f>
        <x:v>45.512373161999435</x:v>
      </x:c>
      <x:c r="L28" s="18" t="n">
        <x:f>J28+K28</x:f>
        <x:v>277.6183085593831</x:v>
      </x:c>
      <x:c r="M28" s="52" t="n">
        <x:f>D28*('Price Catalog'!$G$223+'Price Catalog'!$G$157+'Price Catalog'!$G$175+'Price Catalog'!$G$154)</x:f>
        <x:v>45.44069587386507</x:v>
      </x:c>
      <x:c r="N28" s="18" t="n">
        <x:v>0</x:v>
      </x:c>
      <x:c r="O28" s="11" t="str">
        <x:v>Porters, grooms, drivers and camp labour; no combatants.</x:v>
      </x:c>
    </x:row>
    <x:row r="29" ht="40" customHeight="1">
      <x:c r="C29" s="2" t="str">
        <x:v>Pack and draft horses</x:v>
      </x:c>
      <x:c r="D29" s="2" t="n">
        <x:v>100</x:v>
      </x:c>
      <x:c r="E29" s="18" t="n">
        <x:v>0</x:v>
      </x:c>
      <x:c r="F29" s="18" t="n">
        <x:v>0</x:v>
      </x:c>
      <x:c r="G29" s="18" t="n">
        <x:v>0</x:v>
      </x:c>
      <x:c r="H29" s="18" t="n">
        <x:v>0</x:v>
      </x:c>
      <x:c r="I29" s="52" t="n">
        <x:f>D29*'Wages and Rations'!$G$74</x:f>
        <x:v>89.85807448945954</x:v>
      </x:c>
      <x:c r="J29" s="18" t="n">
        <x:f>I29</x:f>
        <x:v>89.85807448945954</x:v>
      </x:c>
      <x:c r="K29" s="52" t="n">
        <x:f>I29*'Basis'!$D$22</x:f>
        <x:v>17.971614897891907</x:v>
      </x:c>
      <x:c r="L29" s="18" t="n">
        <x:f>J29+K29</x:f>
        <x:v>107.82968938735145</x:v>
      </x:c>
      <x:c r="M29" s="52" t="n">
        <x:f>D29*'Price Catalog'!$G$308</x:f>
        <x:v>42.600652381748496</x:v>
      </x:c>
      <x:c r="N29" s="52" t="n">
        <x:f>D29*'Price Catalog'!$G$115</x:f>
        <x:v>284.00434921165663</x:v>
      </x:c>
      <x:c r="O29" s="11" t="str">
        <x:v>Common replacement horse price and annual reserve used conservatively.</x:v>
      </x:c>
    </x:row>
    <x:row r="30" ht="40" customHeight="1">
      <x:c r="C30" s="2" t="str">
        <x:v>Freight wagons</x:v>
      </x:c>
      <x:c r="D30" s="2" t="n">
        <x:v>50</x:v>
      </x:c>
      <x:c r="E30" s="18" t="n">
        <x:v>0</x:v>
      </x:c>
      <x:c r="F30" s="18" t="n">
        <x:v>0</x:v>
      </x:c>
      <x:c r="G30" s="18" t="n">
        <x:v>0</x:v>
      </x:c>
      <x:c r="H30" s="52" t="n">
        <x:f>D30*'Price Catalog'!$G$311*0.12</x:f>
        <x:v>30.672469714858916</x:v>
      </x:c>
      <x:c r="I30" s="18" t="n">
        <x:v>0</x:v>
      </x:c>
      <x:c r="J30" s="18" t="n">
        <x:f>H30</x:f>
        <x:v>30.672469714858916</x:v>
      </x:c>
      <x:c r="K30" s="18" t="n">
        <x:v>0</x:v>
      </x:c>
      <x:c r="L30" s="18" t="n">
        <x:f>J30</x:f>
        <x:v>30.672469714858916</x:v>
      </x:c>
      <x:c r="M30" s="52" t="n">
        <x:f>D30*'Price Catalog'!$G$311</x:f>
        <x:v>255.603914290491</x:v>
      </x:c>
      <x:c r="N30" s="18" t="n">
        <x:v>0</x:v>
      </x:c>
      <x:c r="O30" s="11" t="str">
        <x:v>Two horses per wagon; drivers are among supply workers.</x:v>
      </x:c>
    </x:row>
    <x:row r="31" ht="40" customHeight="1">
      <x:c r="C31" s="2" t="str">
        <x:v>Camp tents</x:v>
      </x:c>
      <x:c r="D31" s="2" t="n">
        <x:v>200</x:v>
      </x:c>
      <x:c r="E31" s="18" t="n">
        <x:v>0</x:v>
      </x:c>
      <x:c r="F31" s="18" t="n">
        <x:v>0</x:v>
      </x:c>
      <x:c r="G31" s="18" t="n">
        <x:v>0</x:v>
      </x:c>
      <x:c r="H31" s="52" t="n">
        <x:f>D31*'Price Catalog'!$G$316*0.10</x:f>
        <x:v>22.72034793693253</x:v>
      </x:c>
      <x:c r="I31" s="18" t="n">
        <x:v>0</x:v>
      </x:c>
      <x:c r="J31" s="18" t="n">
        <x:f>H31</x:f>
        <x:v>22.72034793693253</x:v>
      </x:c>
      <x:c r="K31" s="18" t="n">
        <x:v>0</x:v>
      </x:c>
      <x:c r="L31" s="18" t="n">
        <x:f>J31</x:f>
        <x:v>22.72034793693253</x:v>
      </x:c>
      <x:c r="M31" s="52" t="n">
        <x:f>D31*'Price Catalog'!$G$316</x:f>
        <x:v>227.2034793693253</x:v>
      </x:c>
      <x:c r="N31" s="18" t="n">
        <x:v>0</x:v>
      </x:c>
      <x:c r="O31" s="11" t="str">
        <x:v>1,200 sleeping places; 10% annual repair allowance.</x:v>
      </x:c>
    </x:row>
    <x:row r="32" ht="40" customHeight="1">
      <x:c r="C32" s="2"/>
      <x:c r="D32" s="2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1"/>
    </x:row>
    <x:row r="33" ht="40" customHeight="1">
      <x:c r="C33" s="32" t="str">
        <x:v>Combined force</x:v>
      </x:c>
      <x:c r="D33" s="32" t="n">
        <x:f>SUM(D23:D26)</x:f>
        <x:v>1000</x:v>
      </x:c>
      <x:c r="E33" s="33" t="n">
        <x:f>SUM(E23:E31)</x:f>
        <x:v>4482.53531172398</x:v>
      </x:c>
      <x:c r="F33" s="33" t="n">
        <x:f>SUM(F23:F31)</x:f>
        <x:v>519.872215234709</x:v>
      </x:c>
      <x:c r="G33" s="33" t="n">
        <x:f>SUM(G23:G31)</x:f>
        <x:v>271.6974940791515</x:v>
      </x:c>
      <x:c r="H33" s="33" t="n">
        <x:f>SUM(H23:H31)</x:f>
        <x:v>363.95157351473785</x:v>
      </x:c>
      <x:c r="I33" s="33" t="n">
        <x:f>SUM(I23:I31)</x:f>
        <x:v>194.71157861729458</x:v>
      </x:c>
      <x:c r="J33" s="33" t="n">
        <x:f>SUM(J23:J31)</x:f>
        <x:v>5832.768173169873</x:v>
      </x:c>
      <x:c r="K33" s="33" t="n">
        <x:f>SUM(K23:K31)</x:f>
        <x:v>1318.3143789989372</x:v>
      </x:c>
      <x:c r="L33" s="33" t="n">
        <x:f>SUM(L23:L31)</x:f>
        <x:v>7151.08255216881</x:v>
      </x:c>
      <x:c r="M33" s="33" t="n">
        <x:f>SUM(M23:M31)</x:f>
        <x:v>2836.6354399260263</x:v>
      </x:c>
      <x:c r="N33" s="33" t="n">
        <x:f>SUM(N23:N31)</x:f>
        <x:v>681.6104381079759</x:v>
      </x:c>
      <x:c r="O33" s="34" t="str">
        <x:v>1,000 combatants + 150 supply workers; 200 mounts and draft animals.</x:v>
      </x:c>
    </x:row>
    <x:row r="34" ht="40" customHeight="1">
      <x:c r="C34" s="2"/>
      <x:c r="D34" s="2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1"/>
    </x:row>
    <x:row r="35" ht="40" customHeight="1">
      <x:c r="C35" s="2"/>
      <x:c r="D35" s="2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1"/>
    </x:row>
    <x:row r="36" ht="40" customHeight="1">
      <x:c r="C36" s="2" t="str">
        <x:v>90-day operating allocation</x:v>
      </x:c>
      <x:c r="D36" s="2" t="n">
        <x:v>90</x:v>
      </x:c>
      <x:c r="E36" s="18"/>
      <x:c r="F36" s="18"/>
      <x:c r="G36" s="18"/>
      <x:c r="H36" s="18"/>
      <x:c r="I36" s="18"/>
      <x:c r="J36" s="18"/>
      <x:c r="K36" s="18"/>
      <x:c r="L36" s="52" t="n">
        <x:f>L33*D36/'Basis'!$D$9</x:f>
        <x:v>1763.2806293018984</x:v>
      </x:c>
      <x:c r="M36" s="18"/>
      <x:c r="N36" s="18"/>
      <x:c r="O36" s="11" t="str">
        <x:v>Share of the annual field budget; not cancellation of annual contracts.</x:v>
      </x:c>
    </x:row>
    <x:row r="37" ht="40" customHeight="1">
      <x:c r="C37" s="2" t="str">
        <x:v>Initial force purchase</x:v>
      </x:c>
      <x:c r="D37" s="2"/>
      <x:c r="E37" s="18"/>
      <x:c r="F37" s="18"/>
      <x:c r="G37" s="18"/>
      <x:c r="H37" s="18"/>
      <x:c r="I37" s="18"/>
      <x:c r="J37" s="18"/>
      <x:c r="K37" s="18"/>
      <x:c r="L37" s="52" t="n">
        <x:f>M33+N33</x:f>
        <x:v>3518.245878034002</x:v>
      </x:c>
      <x:c r="M37" s="18"/>
      <x:c r="N37" s="18"/>
      <x:c r="O37" s="11" t="str">
        <x:v>Equipment, tents, wagons and first mounts; no wages included.</x:v>
      </x:c>
    </x:row>
    <x:row r="38" ht="40" customHeight="1">
      <x:c r="C38" s="2" t="str">
        <x:v>First full field year + new force</x:v>
      </x:c>
      <x:c r="D38" s="2"/>
      <x:c r="E38" s="18"/>
      <x:c r="F38" s="18"/>
      <x:c r="G38" s="18"/>
      <x:c r="H38" s="18"/>
      <x:c r="I38" s="18"/>
      <x:c r="J38" s="18"/>
      <x:c r="K38" s="18"/>
      <x:c r="L38" s="52" t="n">
        <x:f>L33+M33+N33</x:f>
        <x:v>10669.328430202813</x:v>
      </x:c>
      <x:c r="M38" s="18"/>
      <x:c r="N38" s="18"/>
      <x:c r="O38" s="11" t="str">
        <x:v>Operating budget plus initial purchases, including annual replacement reserves.</x:v>
      </x:c>
    </x:row>
    <x:row r="39" ht="26" customHeight="1">
      <x:c r="C39" s="2"/>
      <x:c r="D39" s="2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2"/>
    </x:row>
    <x:row r="40" ht="26" customHeight="1">
      <x:c r="C40" s="2"/>
      <x:c r="D40" s="2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2"/>
    </x:row>
    <x:row r="41" ht="26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26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26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26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</x:sheetData>
  <x:mergeCells>
    <x:mergeCell ref="C2:J2"/>
    <x:mergeCell ref="C4:J4"/>
    <x:mergeCell ref="C15:J15"/>
    <x:mergeCell ref="C17:J17"/>
    <x:mergeCell ref="C20:J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89493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5" hidden="0" customWidth="1"/>
    <x:col min="4" max="4" width="19" hidden="0" customWidth="1"/>
    <x:col min="5" max="5" width="12" hidden="0" customWidth="1"/>
    <x:col min="6" max="6" width="13" hidden="0" customWidth="1"/>
    <x:col min="7" max="7" width="12" hidden="0" customWidth="1"/>
    <x:col min="8" max="8" width="13" hidden="0" customWidth="1"/>
    <x:col min="9" max="9" width="14" hidden="0" customWidth="1"/>
    <x:col min="10" max="10" width="18" hidden="0" customWidth="1"/>
    <x:col min="11" max="11" width="17" hidden="0" customWidth="1"/>
    <x:col min="12" max="12" width="18" hidden="0" customWidth="1"/>
    <x:col min="13" max="13" width="22" hidden="0" customWidth="1"/>
    <x:col min="14" max="14" width="22" hidden="0" customWidth="1"/>
    <x:col min="15" max="15" width="25" hidden="0" customWidth="1"/>
    <x:col min="16" max="16" width="18" hidden="0" customWidth="1"/>
    <x:col min="17" max="17" width="23" hidden="0" customWidth="1"/>
    <x:col min="18" max="18" width="70" hidden="0" customWidth="1"/>
  </x:cols>
  <x:sheetData>
    <x:row r="1" ht="26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8" customHeight="1">
      <x:c r="C2" s="3" t="str">
        <x:v>Ships, crews and fleet budgets</x:v>
      </x:c>
      <x:c r="D2" s="3"/>
      <x:c r="E2" s="3"/>
      <x:c r="F2" s="3"/>
      <x:c r="G2" s="3"/>
      <x:c r="H2" s="3"/>
      <x:c r="I2" s="3"/>
      <x:c r="J2" s="3"/>
      <x:c r="K2" s="2"/>
      <x:c r="L2" s="2"/>
      <x:c r="M2" s="2"/>
      <x:c r="N2" s="2"/>
      <x:c r="O2" s="2"/>
      <x:c r="P2" s="2"/>
      <x:c r="Q2" s="2"/>
      <x:c r="R2" s="2"/>
    </x:row>
    <x:row r="3" ht="26" customHeight="1"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46" customHeight="1">
      <x:c r="C4" s="5" t="str">
        <x:v>New-build hull prices include ordinary rig and fittings. Annual commission budgets include crew, provisions, clothing, arms care, repairs and routine stores. Cargo purchases and cargo customs are separate.</x:v>
      </x:c>
      <x:c r="D4" s="5"/>
      <x:c r="E4" s="5"/>
      <x:c r="F4" s="5"/>
      <x:c r="G4" s="5"/>
      <x:c r="H4" s="5"/>
      <x:c r="I4" s="5"/>
      <x:c r="J4" s="5"/>
      <x:c r="K4" s="2"/>
      <x:c r="L4" s="2"/>
      <x:c r="M4" s="2"/>
      <x:c r="N4" s="2"/>
      <x:c r="O4" s="2"/>
      <x:c r="P4" s="2"/>
      <x:c r="Q4" s="2"/>
      <x:c r="R4" s="2"/>
    </x:row>
    <x:row r="5" ht="26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0" customHeight="1">
      <x:c r="C6" s="8" t="str">
        <x:v>Vessel</x:v>
      </x:c>
      <x:c r="D6" s="8" t="str">
        <x:v>New build GD</x:v>
      </x:c>
      <x:c r="E6" s="8" t="str">
        <x:v>Rowers</x:v>
      </x:c>
      <x:c r="F6" s="8" t="str">
        <x:v>Deck hands</x:v>
      </x:c>
      <x:c r="G6" s="8" t="str">
        <x:v>Marines</x:v>
      </x:c>
      <x:c r="H6" s="8" t="str">
        <x:v>Officers</x:v>
      </x:c>
      <x:c r="I6" s="8" t="str">
        <x:v>Total crew</x:v>
      </x:c>
      <x:c r="J6" s="8" t="str">
        <x:v>Cash pay GD</x:v>
      </x:c>
      <x:c r="K6" s="8" t="str">
        <x:v>Food GD</x:v>
      </x:c>
      <x:c r="L6" s="8" t="str">
        <x:v>Clothing GD</x:v>
      </x:c>
      <x:c r="M6" s="8" t="str">
        <x:v>Hull and rig repair GD</x:v>
      </x:c>
      <x:c r="N6" s="8" t="str">
        <x:v>Stores / port / arms GD</x:v>
      </x:c>
      <x:c r="O6" s="8" t="str">
        <x:v>In commission / year GD</x:v>
      </x:c>
      <x:c r="P6" s="8" t="str">
        <x:v>Caretakers laid up</x:v>
      </x:c>
      <x:c r="Q6" s="8" t="str">
        <x:v>Laid up / year GD</x:v>
      </x:c>
      <x:c r="R6" s="8" t="str">
        <x:v>Design and exclusions</x:v>
      </x:c>
    </x:row>
    <x:row r="7" ht="54" customHeight="1">
      <x:c r="C7" s="2" t="str">
        <x:v>Fishing boat</x:v>
      </x:c>
      <x:c r="D7" s="52" t="n">
        <x:f>'Basis'!$F$103*'Basis'!$E$115</x:f>
        <x:v>9.466811640388554</x:v>
      </x:c>
      <x:c r="E7" s="2" t="n">
        <x:v>0</x:v>
      </x:c>
      <x:c r="F7" s="2" t="n">
        <x:v>2</x:v>
      </x:c>
      <x:c r="G7" s="2" t="n">
        <x:v>0</x:v>
      </x:c>
      <x:c r="H7" s="2" t="n">
        <x:v>0</x:v>
      </x:c>
      <x:c r="I7" s="2" t="n">
        <x:f>SUM(E7:H7)</x:f>
        <x:v>2</x:v>
      </x:c>
      <x:c r="J7" s="52" t="n">
        <x:f>E7*'Wages and Rations'!$F$43+F7*'Wages and Rations'!$F$44+G7*'Wages and Rations'!$F$36+H7*'Wages and Rations'!$F$45</x:f>
        <x:v>6.058759449848675</x:v>
      </x:c>
      <x:c r="K7" s="52" t="n">
        <x:f>I7*'Wages and Rations'!$G$67</x:f>
        <x:v>0.9041255917125374</x:v>
      </x:c>
      <x:c r="L7" s="52" t="n">
        <x:f>I7*'Basis'!$F$85</x:f>
        <x:v>0.3786724656155422</x:v>
      </x:c>
      <x:c r="M7" s="52" t="n">
        <x:f>D7*'Basis'!$D$23</x:f>
        <x:v>0.47334058201942775</x:v>
      </x:c>
      <x:c r="N7" s="52" t="n">
        <x:f>D7*'Basis'!$D$24+I33</x:f>
        <x:v>0.1420021746058283</x:v>
      </x:c>
      <x:c r="O7" s="18" t="n">
        <x:f>SUM(J7:N7)</x:f>
        <x:v>7.9569002638020105</x:v>
      </x:c>
      <x:c r="P7" s="21" t="n">
        <x:v>1</x:v>
      </x:c>
      <x:c r="Q7" s="52" t="n">
        <x:f>D7*'Basis'!$D$25+P7*'Wages and Rations'!$M$13</x:f>
        <x:v>2.068047542870595</x:v>
      </x:c>
      <x:c r="R7" s="11" t="str">
        <x:v>Small open fishing boat with basic sail; crew labour is costed even if owner-operated.</x:v>
      </x:c>
    </x:row>
    <x:row r="8" ht="54" customHeight="1">
      <x:c r="C8" s="12" t="str">
        <x:v>River cargo barge</x:v>
      </x:c>
      <x:c r="D8" s="62" t="n">
        <x:f>'Basis'!$F$103*'Basis'!$E$116</x:f>
        <x:v>113.60173968466265</x:v>
      </x:c>
      <x:c r="E8" s="12" t="n">
        <x:v>0</x:v>
      </x:c>
      <x:c r="F8" s="12" t="n">
        <x:v>3</x:v>
      </x:c>
      <x:c r="G8" s="12" t="n">
        <x:v>0</x:v>
      </x:c>
      <x:c r="H8" s="12" t="n">
        <x:v>1</x:v>
      </x:c>
      <x:c r="I8" s="12" t="n">
        <x:f>SUM(E8:H8)</x:f>
        <x:v>4</x:v>
      </x:c>
      <x:c r="J8" s="62" t="n">
        <x:f>E8*'Wages and Rations'!$F$43+F8*'Wages and Rations'!$F$44+G8*'Wages and Rations'!$F$36+H8*'Wages and Rations'!$F$45</x:f>
        <x:v>16.661588487083854</x:v>
      </x:c>
      <x:c r="K8" s="62" t="n">
        <x:f>I8*'Wages and Rations'!$G$67</x:f>
        <x:v>1.8082511834250747</x:v>
      </x:c>
      <x:c r="L8" s="62" t="n">
        <x:f>I8*'Basis'!$F$85</x:f>
        <x:v>0.7573449312310844</x:v>
      </x:c>
      <x:c r="M8" s="62" t="n">
        <x:f>D8*'Basis'!$D$23</x:f>
        <x:v>5.6800869842331325</x:v>
      </x:c>
      <x:c r="N8" s="62" t="n">
        <x:f>D8*'Basis'!$D$24+I34</x:f>
        <x:v>1.7040260952699395</x:v>
      </x:c>
      <x:c r="O8" s="25" t="n">
        <x:f>SUM(J8:N8)</x:f>
        <x:v>26.611297681243084</x:v>
      </x:c>
      <x:c r="P8" s="63" t="n">
        <x:v>1</x:v>
      </x:c>
      <x:c r="Q8" s="62" t="n">
        <x:f>D8*'Basis'!$D$25+P8*'Wages and Rations'!$M$13</x:f>
        <x:v>4.671420743977447</x:v>
      </x:c>
      <x:c r="R8" s="61" t="str">
        <x:v>About 20 long tons cargo; ordinary navigable river, no towing team included.</x:v>
      </x:c>
    </x:row>
    <x:row r="9" ht="54" customHeight="1">
      <x:c r="C9" s="2" t="str">
        <x:v>Small coastal trader</x:v>
      </x:c>
      <x:c r="D9" s="52" t="n">
        <x:f>'Basis'!$F$106*'Basis'!$E$117</x:f>
        <x:v>757.3449312310844</x:v>
      </x:c>
      <x:c r="E9" s="2" t="n">
        <x:v>0</x:v>
      </x:c>
      <x:c r="F9" s="2" t="n">
        <x:v>8</x:v>
      </x:c>
      <x:c r="G9" s="2" t="n">
        <x:v>0</x:v>
      </x:c>
      <x:c r="H9" s="2" t="n">
        <x:v>2</x:v>
      </x:c>
      <x:c r="I9" s="2" t="n">
        <x:f>SUM(E9:H9)</x:f>
        <x:v>10</x:v>
      </x:c>
      <x:c r="J9" s="52" t="n">
        <x:f>E9*'Wages and Rations'!$F$43+F9*'Wages and Rations'!$F$44+G9*'Wages and Rations'!$F$36+H9*'Wages and Rations'!$F$45</x:f>
        <x:v>39.38193642401639</x:v>
      </x:c>
      <x:c r="K9" s="52" t="n">
        <x:f>I9*'Wages and Rations'!$G$67</x:f>
        <x:v>4.520627958562687</x:v>
      </x:c>
      <x:c r="L9" s="52" t="n">
        <x:f>I9*'Basis'!$F$85</x:f>
        <x:v>1.893362328077711</x:v>
      </x:c>
      <x:c r="M9" s="52" t="n">
        <x:f>D9*'Basis'!$D$23</x:f>
        <x:v>37.86724656155422</x:v>
      </x:c>
      <x:c r="N9" s="52" t="n">
        <x:f>D9*'Basis'!$D$24+I35</x:f>
        <x:v>11.360173968466265</x:v>
      </x:c>
      <x:c r="O9" s="18" t="n">
        <x:f>SUM(J9:N9)</x:f>
        <x:v>95.02334724067727</x:v>
      </x:c>
      <x:c r="P9" s="21" t="n">
        <x:v>1</x:v>
      </x:c>
      <x:c r="Q9" s="52" t="n">
        <x:f>D9*'Basis'!$D$25+P9*'Wages and Rations'!$M$13</x:f>
        <x:v>20.76500053263799</x:v>
      </x:c>
      <x:c r="R9" s="11" t="str">
        <x:v>About 40 long tons payload, sheltered coastal trade.</x:v>
      </x:c>
    </x:row>
    <x:row r="10" ht="54" customHeight="1">
      <x:c r="C10" s="12" t="str">
        <x:v>Merchant cog</x:v>
      </x:c>
      <x:c r="D10" s="62" t="n">
        <x:f>'Basis'!$F$106*'Basis'!$E$118</x:f>
        <x:v>1893.3623280777108</x:v>
      </x:c>
      <x:c r="E10" s="12" t="n">
        <x:v>0</x:v>
      </x:c>
      <x:c r="F10" s="12" t="n">
        <x:v>12</x:v>
      </x:c>
      <x:c r="G10" s="12" t="n">
        <x:v>0</x:v>
      </x:c>
      <x:c r="H10" s="12" t="n">
        <x:v>2</x:v>
      </x:c>
      <x:c r="I10" s="12" t="n">
        <x:f>SUM(E10:H10)</x:f>
        <x:v>14</x:v>
      </x:c>
      <x:c r="J10" s="62" t="n">
        <x:f>E10*'Wages and Rations'!$F$43+F10*'Wages and Rations'!$F$44+G10*'Wages and Rations'!$F$36+H10*'Wages and Rations'!$F$45</x:f>
        <x:v>51.49945532371373</x:v>
      </x:c>
      <x:c r="K10" s="62" t="n">
        <x:f>I10*'Wages and Rations'!$G$67</x:f>
        <x:v>6.328879141987762</x:v>
      </x:c>
      <x:c r="L10" s="62" t="n">
        <x:f>I10*'Basis'!$F$85</x:f>
        <x:v>2.6507072593087955</x:v>
      </x:c>
      <x:c r="M10" s="62" t="n">
        <x:f>D10*'Basis'!$D$23</x:f>
        <x:v>94.66811640388555</x:v>
      </x:c>
      <x:c r="N10" s="62" t="n">
        <x:f>D10*'Basis'!$D$24+I36</x:f>
        <x:v>28.40043492116566</x:v>
      </x:c>
      <x:c r="O10" s="25" t="n">
        <x:f>SUM(J10:N10)</x:f>
        <x:v>183.54759305006152</x:v>
      </x:c>
      <x:c r="P10" s="63" t="n">
        <x:v>2</x:v>
      </x:c>
      <x:c r="Q10" s="62" t="n">
        <x:f>D10*'Basis'!$D$25+P10*'Wages and Rations'!$M$13</x:f>
        <x:v>50.99681270566454</x:v>
      </x:c>
      <x:c r="R10" s="61" t="str">
        <x:v>About 100 long tons payload; preserved fiscal-model vessel quote.</x:v>
      </x:c>
    </x:row>
    <x:row r="11" ht="54" customHeight="1">
      <x:c r="C11" s="2" t="str">
        <x:v>Large merchant carrack</x:v>
      </x:c>
      <x:c r="D11" s="52" t="n">
        <x:f>'Basis'!$F$106*'Basis'!$E$119</x:f>
        <x:v>5112.078285809819</x:v>
      </x:c>
      <x:c r="E11" s="2" t="n">
        <x:v>0</x:v>
      </x:c>
      <x:c r="F11" s="2" t="n">
        <x:v>25</x:v>
      </x:c>
      <x:c r="G11" s="2" t="n">
        <x:v>4</x:v>
      </x:c>
      <x:c r="H11" s="2" t="n">
        <x:v>4</x:v>
      </x:c>
      <x:c r="I11" s="2" t="n">
        <x:f>SUM(E11:H11)</x:f>
        <x:v>33</x:v>
      </x:c>
      <x:c r="J11" s="52" t="n">
        <x:f>E11*'Wages and Rations'!$F$43+F11*'Wages and Rations'!$F$44+G11*'Wages and Rations'!$F$36+H11*'Wages and Rations'!$F$45</x:f>
        <x:v>121.17518899697349</x:v>
      </x:c>
      <x:c r="K11" s="52" t="n">
        <x:f>I11*'Wages and Rations'!$G$67</x:f>
        <x:v>14.918072263256867</x:v>
      </x:c>
      <x:c r="L11" s="52" t="n">
        <x:f>I11*'Basis'!$F$85</x:f>
        <x:v>6.248095682656446</x:v>
      </x:c>
      <x:c r="M11" s="52" t="n">
        <x:f>D11*'Basis'!$D$23</x:f>
        <x:v>255.60391429049096</x:v>
      </x:c>
      <x:c r="N11" s="52" t="n">
        <x:f>D11*'Basis'!$D$24+I37</x:f>
        <x:v>77.81719168399391</x:v>
      </x:c>
      <x:c r="O11" s="18" t="n">
        <x:f>SUM(J11:N11)</x:f>
        <x:v>475.76246291737164</x:v>
      </x:c>
      <x:c r="P11" s="21" t="n">
        <x:v>3</x:v>
      </x:c>
      <x:c r="Q11" s="52" t="n">
        <x:f>D11*'Basis'!$D$25+P11*'Wages and Rations'!$M$13</x:f>
        <x:v>133.29608890082812</x:v>
      </x:c>
      <x:c r="R11" s="11" t="str">
        <x:v>About 250 long tons payload; additional escort ships extra.</x:v>
      </x:c>
    </x:row>
    <x:row r="12" ht="54" customHeight="1">
      <x:c r="C12" s="12" t="str">
        <x:v>Forty-oar longship</x:v>
      </x:c>
      <x:c r="D12" s="62" t="n">
        <x:f>'Basis'!$F$106*'Basis'!$E$120</x:f>
        <x:v>852.0130476349699</x:v>
      </x:c>
      <x:c r="E12" s="12" t="n">
        <x:v>40</x:v>
      </x:c>
      <x:c r="F12" s="12" t="n">
        <x:v>0</x:v>
      </x:c>
      <x:c r="G12" s="12" t="n">
        <x:v>0</x:v>
      </x:c>
      <x:c r="H12" s="12" t="n">
        <x:v>2</x:v>
      </x:c>
      <x:c r="I12" s="12" t="n">
        <x:f>SUM(E12:H12)</x:f>
        <x:v>42</x:v>
      </x:c>
      <x:c r="J12" s="62" t="n">
        <x:f>E12*'Wages and Rations'!$F$43+F12*'Wages and Rations'!$F$44+G12*'Wages and Rations'!$F$36+H12*'Wages and Rations'!$F$45</x:f>
        <x:v>106.0282903723518</x:v>
      </x:c>
      <x:c r="K12" s="62" t="n">
        <x:f>I12*'Wages and Rations'!$G$67</x:f>
        <x:v>18.986637425963284</x:v>
      </x:c>
      <x:c r="L12" s="62" t="n">
        <x:f>I12*'Basis'!$F$85</x:f>
        <x:v>7.9521217779263855</x:v>
      </x:c>
      <x:c r="M12" s="62" t="n">
        <x:f>D12*'Basis'!$D$23</x:f>
        <x:v>42.600652381748496</x:v>
      </x:c>
      <x:c r="N12" s="62" t="n">
        <x:f>D12*'Basis'!$D$24+I38</x:f>
        <x:v>24.708378381414125</x:v>
      </x:c>
      <x:c r="O12" s="25" t="n">
        <x:f>SUM(J12:N12)</x:f>
        <x:v>200.27608033940407</x:v>
      </x:c>
      <x:c r="P12" s="63" t="n">
        <x:v>2</x:v>
      </x:c>
      <x:c r="Q12" s="62" t="n">
        <x:f>D12*'Basis'!$D$25+P12*'Wages and Rations'!$M$13</x:f>
        <x:v>24.96308069459601</x:v>
      </x:c>
      <x:c r="R12" s="61" t="str">
        <x:v>40 paid rowers also form the fighting crew; 2 officers.</x:v>
      </x:c>
    </x:row>
    <x:row r="13" ht="54" customHeight="1">
      <x:c r="C13" s="2" t="str">
        <x:v>Hundred-oar war galley</x:v>
      </x:c>
      <x:c r="D13" s="52" t="n">
        <x:f>'Basis'!$F$106*'Basis'!$E$121</x:f>
        <x:v>4544.069587386506</x:v>
      </x:c>
      <x:c r="E13" s="2" t="n">
        <x:v>100</x:v>
      </x:c>
      <x:c r="F13" s="2" t="n">
        <x:v>10</x:v>
      </x:c>
      <x:c r="G13" s="2" t="n">
        <x:v>20</x:v>
      </x:c>
      <x:c r="H13" s="2" t="n">
        <x:v>5</x:v>
      </x:c>
      <x:c r="I13" s="2" t="n">
        <x:f>SUM(E13:H13)</x:f>
        <x:v>135</x:v>
      </x:c>
      <x:c r="J13" s="52" t="n">
        <x:f>E13*'Wages and Rations'!$F$43+F13*'Wages and Rations'!$F$44+G13*'Wages and Rations'!$F$36+H13*'Wages and Rations'!$F$45</x:f>
        <x:v>371.09901630323134</x:v>
      </x:c>
      <x:c r="K13" s="52" t="n">
        <x:f>I13*'Wages and Rations'!$G$67</x:f>
        <x:v>61.02847744059627</x:v>
      </x:c>
      <x:c r="L13" s="52" t="n">
        <x:f>I13*'Basis'!$F$85</x:f>
        <x:v>25.560391429049098</x:v>
      </x:c>
      <x:c r="M13" s="52" t="n">
        <x:f>D13*'Basis'!$D$23</x:f>
        <x:v>227.20347936932532</x:v>
      </x:c>
      <x:c r="N13" s="52" t="n">
        <x:f>D13*'Basis'!$D$24+I39</x:f>
        <x:v>103.66158746225467</x:v>
      </x:c>
      <x:c r="O13" s="18" t="n">
        <x:f>SUM(J13:N13)</x:f>
        <x:v>788.5529520044568</x:v>
      </x:c>
      <x:c r="P13" s="21" t="n">
        <x:v>4</x:v>
      </x:c>
      <x:c r="Q13" s="52" t="n">
        <x:f>D13*'Basis'!$D$25+P13*'Wages and Rations'!$M$13</x:f>
        <x:v>120.92724869210619</x:v>
      </x:c>
      <x:c r="R13" s="11" t="str">
        <x:v>100 rowers, 10 deck hands, 20 marines, 5 officers; siege engines extra.</x:v>
      </x:c>
    </x:row>
    <x:row r="14" ht="54" customHeight="1">
      <x:c r="C14" s="12" t="str">
        <x:v>Two-hundred-oar great galley</x:v>
      </x:c>
      <x:c r="D14" s="62" t="n">
        <x:f>'Basis'!$F$106*'Basis'!$E$122</x:f>
        <x:v>8520.1304763497</x:v>
      </x:c>
      <x:c r="E14" s="12" t="n">
        <x:v>200</x:v>
      </x:c>
      <x:c r="F14" s="12" t="n">
        <x:v>20</x:v>
      </x:c>
      <x:c r="G14" s="12" t="n">
        <x:v>40</x:v>
      </x:c>
      <x:c r="H14" s="12" t="n">
        <x:v>8</x:v>
      </x:c>
      <x:c r="I14" s="12" t="n">
        <x:f>SUM(E14:H14)</x:f>
        <x:v>268</x:v>
      </x:c>
      <x:c r="J14" s="62" t="n">
        <x:f>E14*'Wages and Rations'!$F$43+F14*'Wages and Rations'!$F$44+G14*'Wages and Rations'!$F$36+H14*'Wages and Rations'!$F$45</x:f>
        <x:v>727.051133981841</x:v>
      </x:c>
      <x:c r="K14" s="62" t="n">
        <x:f>I14*'Wages and Rations'!$G$67</x:f>
        <x:v>121.15282928948001</x:v>
      </x:c>
      <x:c r="L14" s="62" t="n">
        <x:f>I14*'Basis'!$F$85</x:f>
        <x:v>50.74211039248265</x:v>
      </x:c>
      <x:c r="M14" s="62" t="n">
        <x:f>D14*'Basis'!$D$23</x:f>
        <x:v>426.006523817485</x:v>
      </x:c>
      <x:c r="N14" s="62" t="n">
        <x:f>D14*'Basis'!$D$24+I40</x:f>
        <x:v>198.2350357497363</x:v>
      </x:c>
      <x:c r="O14" s="25" t="n">
        <x:f>SUM(J14:N14)</x:f>
        <x:v>1523.1876332310248</x:v>
      </x:c>
      <x:c r="P14" s="63" t="n">
        <x:v>6</x:v>
      </x:c>
      <x:c r="Q14" s="62" t="n">
        <x:f>D14*'Basis'!$D$25+P14*'Wages and Rations'!$M$13</x:f>
        <x:v>223.9915254199078</x:v>
      </x:c>
      <x:c r="R14" s="61" t="str">
        <x:v>200 rowers plus deck crew, marines and officers; siege engines extra.</x:v>
      </x:c>
    </x:row>
    <x:row r="15" ht="26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6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31" customHeight="1">
      <x:c r="C17" s="13" t="str">
        <x:v>Fleet purchase and annual operating examples</x:v>
      </x:c>
      <x:c r="D17" s="13"/>
      <x:c r="E17" s="13"/>
      <x:c r="F17" s="13"/>
      <x:c r="G17" s="13"/>
      <x:c r="H17" s="13"/>
      <x:c r="I17" s="13"/>
      <x:c r="J17" s="13"/>
      <x:c r="K17" s="2"/>
      <x:c r="L17" s="2"/>
      <x:c r="M17" s="2"/>
      <x:c r="N17" s="2"/>
      <x:c r="O17" s="2"/>
      <x:c r="P17" s="2"/>
      <x:c r="Q17" s="2"/>
      <x:c r="R17" s="2"/>
    </x:row>
    <x:row r="18" ht="26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40" customHeight="1">
      <x:c r="C19" s="8" t="str">
        <x:v>Fleet</x:v>
      </x:c>
      <x:c r="D19" s="8" t="str">
        <x:v>Longships</x:v>
      </x:c>
      <x:c r="E19" s="8" t="str">
        <x:v>War galleys</x:v>
      </x:c>
      <x:c r="F19" s="8" t="str">
        <x:v>Ships total</x:v>
      </x:c>
      <x:c r="G19" s="8" t="str">
        <x:v>Build purchase GD</x:v>
      </x:c>
      <x:c r="H19" s="8" t="str">
        <x:v>Annual commission GD</x:v>
      </x:c>
      <x:c r="I19" s="8" t="str">
        <x:v>Annual laid-up GD</x:v>
      </x:c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6" customHeight="1">
      <x:c r="C20" s="2" t="str">
        <x:v>100 longships</x:v>
      </x:c>
      <x:c r="D20" s="2" t="n">
        <x:v>100</x:v>
      </x:c>
      <x:c r="E20" s="2" t="n">
        <x:v>0</x:v>
      </x:c>
      <x:c r="F20" s="2" t="n">
        <x:f>D20+E20</x:f>
        <x:v>100</x:v>
      </x:c>
      <x:c r="G20" s="18" t="n">
        <x:f>D20*$D$12+E20*$D$13</x:f>
        <x:v>85201.30476349698</x:v>
      </x:c>
      <x:c r="H20" s="18" t="n">
        <x:f>D20*$O$12+E20*$O$13</x:f>
        <x:v>20027.608033940407</x:v>
      </x:c>
      <x:c r="I20" s="18" t="n">
        <x:f>D20*$Q$12+E20*$Q$13</x:f>
        <x:v>2496.308069459601</x:v>
      </x:c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6" customHeight="1">
      <x:c r="C21" s="2" t="str">
        <x:v>100 war galleys</x:v>
      </x:c>
      <x:c r="D21" s="2" t="n">
        <x:v>0</x:v>
      </x:c>
      <x:c r="E21" s="2" t="n">
        <x:v>100</x:v>
      </x:c>
      <x:c r="F21" s="2" t="n">
        <x:f>D21+E21</x:f>
        <x:v>100</x:v>
      </x:c>
      <x:c r="G21" s="18" t="n">
        <x:f>D21*$D$12+E21*$D$13</x:f>
        <x:v>454406.9587386506</x:v>
      </x:c>
      <x:c r="H21" s="18" t="n">
        <x:f>D21*$O$12+E21*$O$13</x:f>
        <x:v>78855.29520044567</x:v>
      </x:c>
      <x:c r="I21" s="18" t="n">
        <x:f>D21*$Q$12+E21*$Q$13</x:f>
        <x:v>12092.724869210619</x:v>
      </x:c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6" customHeight="1">
      <x:c r="C22" s="2" t="str">
        <x:v>70 longships + 30 galleys</x:v>
      </x:c>
      <x:c r="D22" s="2" t="n">
        <x:v>70</x:v>
      </x:c>
      <x:c r="E22" s="2" t="n">
        <x:v>30</x:v>
      </x:c>
      <x:c r="F22" s="2" t="n">
        <x:f>D22+E22</x:f>
        <x:v>100</x:v>
      </x:c>
      <x:c r="G22" s="18" t="n">
        <x:f>D22*$D$12+E22*$D$13</x:f>
        <x:v>195963.00095604308</x:v>
      </x:c>
      <x:c r="H22" s="18" t="n">
        <x:f>D22*$O$12+E22*$O$13</x:f>
        <x:v>37675.91418389199</x:v>
      </x:c>
      <x:c r="I22" s="18" t="n">
        <x:f>D22*$Q$12+E22*$Q$13</x:f>
        <x:v>5375.233109384906</x:v>
      </x:c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6" customHeight="1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6" customHeight="1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42" customHeight="1">
      <x:c r="C25" s="5" t="str">
        <x:v>Commission and laid-up budgets are alternatives for a full year. A mixed year requires seasonal crew contracts plus the relevant maintenance plan; do not add both full-year totals. Fleet examples do not imply these fleets exist in the North in 126 AC.</x:v>
      </x:c>
      <x:c r="D25" s="5"/>
      <x:c r="E25" s="5"/>
      <x:c r="F25" s="5"/>
      <x:c r="G25" s="5"/>
      <x:c r="H25" s="5"/>
      <x:c r="I25" s="5"/>
      <x:c r="J25" s="5"/>
      <x:c r="K25" s="2"/>
      <x:c r="L25" s="2"/>
      <x:c r="M25" s="2"/>
      <x:c r="N25" s="2"/>
      <x:c r="O25" s="2"/>
      <x:c r="P25" s="2"/>
      <x:c r="Q25" s="2"/>
      <x:c r="R25" s="2"/>
    </x:row>
    <x:row r="26" ht="26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42" customHeight="1">
      <x:c r="C27" s="5" t="str">
        <x:v>Crew pay uses rower, seaman, foot retainer and blended ship-officer contracts from Wages. The annual hull budget maintains the vessel; it is not a fund to replace a completely lost ship.</x:v>
      </x:c>
      <x:c r="D27" s="5"/>
      <x:c r="E27" s="5"/>
      <x:c r="F27" s="5"/>
      <x:c r="G27" s="5"/>
      <x:c r="H27" s="5"/>
      <x:c r="I27" s="5"/>
      <x:c r="J27" s="5"/>
      <x:c r="K27" s="2"/>
      <x:c r="L27" s="2"/>
      <x:c r="M27" s="2"/>
      <x:c r="N27" s="2"/>
      <x:c r="O27" s="2"/>
      <x:c r="P27" s="2"/>
      <x:c r="Q27" s="2"/>
      <x:c r="R27" s="2"/>
    </x:row>
    <x:row r="28" ht="26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6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31" customHeight="1">
      <x:c r="C30" s="13" t="str">
        <x:v>First crew equipment and annual arms care</x:v>
      </x:c>
      <x:c r="D30" s="13"/>
      <x:c r="E30" s="13"/>
      <x:c r="F30" s="13"/>
      <x:c r="G30" s="13"/>
      <x:c r="H30" s="13"/>
      <x:c r="I30" s="13"/>
      <x:c r="J30" s="13"/>
      <x:c r="K30" s="2"/>
      <x:c r="L30" s="2"/>
      <x:c r="M30" s="2"/>
      <x:c r="N30" s="2"/>
      <x:c r="O30" s="2"/>
      <x:c r="P30" s="2"/>
      <x:c r="Q30" s="2"/>
      <x:c r="R30" s="2"/>
    </x:row>
    <x:row r="31" ht="26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40" customHeight="1">
      <x:c r="C32" s="8" t="str">
        <x:v>Vessel</x:v>
      </x:c>
      <x:c r="D32" s="8" t="str">
        <x:v>All crew</x:v>
      </x:c>
      <x:c r="E32" s="8" t="str">
        <x:v>Armed crew</x:v>
      </x:c>
      <x:c r="F32" s="8" t="str">
        <x:v>First weapons GD</x:v>
      </x:c>
      <x:c r="G32" s="8" t="str">
        <x:v>Personal gear GD</x:v>
      </x:c>
      <x:c r="H32" s="8" t="str">
        <x:v>Ready-to-serve capital GD</x:v>
      </x:c>
      <x:c r="I32" s="8" t="str">
        <x:v>Annual arms care GD</x:v>
      </x:c>
      <x:c r="J32" s="8" t="str">
        <x:v>Equipment basis</x:v>
      </x:c>
      <x:c r="K32" s="36"/>
      <x:c r="L32" s="36"/>
      <x:c r="M32" s="36"/>
      <x:c r="N32" s="36"/>
      <x:c r="O32" s="36"/>
      <x:c r="P32" s="36"/>
      <x:c r="Q32" s="36"/>
      <x:c r="R32" s="36"/>
    </x:row>
    <x:row r="33" ht="62" customHeight="1">
      <x:c r="C33" s="2" t="str">
        <x:v>Fishing boat</x:v>
      </x:c>
      <x:c r="D33" s="2" t="n">
        <x:f>I7</x:f>
        <x:v>2</x:v>
      </x:c>
      <x:c r="E33" s="2" t="n">
        <x:f>G7</x:f>
        <x:v>0</x:v>
      </x:c>
      <x:c r="F33" s="52" t="n">
        <x:f>G7*('Price Catalog'!$G$277+'Price Catalog'!$G$288+'Price Catalog'!$G$289+'Price Catalog'!$G$290)</x:f>
        <x:v>0</x:v>
      </x:c>
      <x:c r="G33" s="52" t="n">
        <x:f>D33*('Price Catalog'!$G$157+'Price Catalog'!$G$175+'Price Catalog'!$G$154)</x:f>
        <x:v>0.45440695873865067</x:v>
      </x:c>
      <x:c r="H33" s="18" t="n">
        <x:f>D7+F33+G33</x:f>
        <x:v>9.921218599127204</x:v>
      </x:c>
      <x:c r="I33" s="52" t="n">
        <x:f>E33*'Basis'!$F$86</x:f>
        <x:v>0</x:v>
      </x:c>
      <x:c r="J33" s="11" t="str">
        <x:v>Personal gear: blanket, waterskin, boots. Warship rowers receive light arms; marines receive infantry arms, officers sword/mail/helm.</x:v>
      </x:c>
      <x:c r="K33" s="11"/>
      <x:c r="L33" s="11"/>
      <x:c r="M33" s="11"/>
      <x:c r="N33" s="11"/>
      <x:c r="O33" s="11"/>
      <x:c r="P33" s="11"/>
      <x:c r="Q33" s="11"/>
      <x:c r="R33" s="11"/>
    </x:row>
    <x:row r="34" ht="62" customHeight="1">
      <x:c r="C34" s="2" t="str">
        <x:v>River cargo barge</x:v>
      </x:c>
      <x:c r="D34" s="2" t="n">
        <x:f>I8</x:f>
        <x:v>4</x:v>
      </x:c>
      <x:c r="E34" s="2" t="n">
        <x:f>G8</x:f>
        <x:v>0</x:v>
      </x:c>
      <x:c r="F34" s="52" t="n">
        <x:f>G8*('Price Catalog'!$G$277+'Price Catalog'!$G$288+'Price Catalog'!$G$289+'Price Catalog'!$G$290)</x:f>
        <x:v>0</x:v>
      </x:c>
      <x:c r="G34" s="52" t="n">
        <x:f>D34*('Price Catalog'!$G$157+'Price Catalog'!$G$175+'Price Catalog'!$G$154)</x:f>
        <x:v>0.9088139174773013</x:v>
      </x:c>
      <x:c r="H34" s="18" t="n">
        <x:f>D8+F34+G34</x:f>
        <x:v>114.51055360213995</x:v>
      </x:c>
      <x:c r="I34" s="52" t="n">
        <x:f>E34*'Basis'!$F$86</x:f>
        <x:v>0</x:v>
      </x:c>
      <x:c r="J34" s="11" t="str">
        <x:v>Personal gear: blanket, waterskin, boots. Warship rowers receive light arms; marines receive infantry arms, officers sword/mail/helm.</x:v>
      </x:c>
      <x:c r="K34" s="11"/>
      <x:c r="L34" s="11"/>
      <x:c r="M34" s="11"/>
      <x:c r="N34" s="11"/>
      <x:c r="O34" s="11"/>
      <x:c r="P34" s="11"/>
      <x:c r="Q34" s="11"/>
      <x:c r="R34" s="11"/>
    </x:row>
    <x:row r="35" ht="62" customHeight="1">
      <x:c r="C35" s="2" t="str">
        <x:v>Small coastal trader</x:v>
      </x:c>
      <x:c r="D35" s="2" t="n">
        <x:f>I9</x:f>
        <x:v>10</x:v>
      </x:c>
      <x:c r="E35" s="2" t="n">
        <x:f>G9</x:f>
        <x:v>0</x:v>
      </x:c>
      <x:c r="F35" s="52" t="n">
        <x:f>G9*('Price Catalog'!$G$277+'Price Catalog'!$G$288+'Price Catalog'!$G$289+'Price Catalog'!$G$290)</x:f>
        <x:v>0</x:v>
      </x:c>
      <x:c r="G35" s="52" t="n">
        <x:f>D35*('Price Catalog'!$G$157+'Price Catalog'!$G$175+'Price Catalog'!$G$154)</x:f>
        <x:v>2.2720347936932535</x:v>
      </x:c>
      <x:c r="H35" s="18" t="n">
        <x:f>D9+F35+G35</x:f>
        <x:v>759.6169660247776</x:v>
      </x:c>
      <x:c r="I35" s="52" t="n">
        <x:f>E35*'Basis'!$F$86</x:f>
        <x:v>0</x:v>
      </x:c>
      <x:c r="J35" s="11" t="str">
        <x:v>Personal gear: blanket, waterskin, boots. Warship rowers receive light arms; marines receive infantry arms, officers sword/mail/helm.</x:v>
      </x:c>
      <x:c r="K35" s="11"/>
      <x:c r="L35" s="11"/>
      <x:c r="M35" s="11"/>
      <x:c r="N35" s="11"/>
      <x:c r="O35" s="11"/>
      <x:c r="P35" s="11"/>
      <x:c r="Q35" s="11"/>
      <x:c r="R35" s="11"/>
    </x:row>
    <x:row r="36" ht="62" customHeight="1">
      <x:c r="C36" s="2" t="str">
        <x:v>Merchant cog</x:v>
      </x:c>
      <x:c r="D36" s="2" t="n">
        <x:f>I10</x:f>
        <x:v>14</x:v>
      </x:c>
      <x:c r="E36" s="2" t="n">
        <x:f>G10</x:f>
        <x:v>0</x:v>
      </x:c>
      <x:c r="F36" s="52" t="n">
        <x:f>G10*('Price Catalog'!$G$277+'Price Catalog'!$G$288+'Price Catalog'!$G$289+'Price Catalog'!$G$290)</x:f>
        <x:v>0</x:v>
      </x:c>
      <x:c r="G36" s="52" t="n">
        <x:f>D36*('Price Catalog'!$G$157+'Price Catalog'!$G$175+'Price Catalog'!$G$154)</x:f>
        <x:v>3.1808487111705546</x:v>
      </x:c>
      <x:c r="H36" s="18" t="n">
        <x:f>D10+F36+G36</x:f>
        <x:v>1896.5431767888813</x:v>
      </x:c>
      <x:c r="I36" s="52" t="n">
        <x:f>E36*'Basis'!$F$86</x:f>
        <x:v>0</x:v>
      </x:c>
      <x:c r="J36" s="11" t="str">
        <x:v>Personal gear: blanket, waterskin, boots. Warship rowers receive light arms; marines receive infantry arms, officers sword/mail/helm.</x:v>
      </x:c>
      <x:c r="K36" s="11"/>
      <x:c r="L36" s="11"/>
      <x:c r="M36" s="11"/>
      <x:c r="N36" s="11"/>
      <x:c r="O36" s="11"/>
      <x:c r="P36" s="11"/>
      <x:c r="Q36" s="11"/>
      <x:c r="R36" s="11"/>
    </x:row>
    <x:row r="37" ht="62" customHeight="1">
      <x:c r="C37" s="2" t="str">
        <x:v>Large merchant carrack</x:v>
      </x:c>
      <x:c r="D37" s="2" t="n">
        <x:f>I11</x:f>
        <x:v>33</x:v>
      </x:c>
      <x:c r="E37" s="2" t="n">
        <x:f>G11</x:f>
        <x:v>4</x:v>
      </x:c>
      <x:c r="F37" s="52" t="n">
        <x:f>G11*('Price Catalog'!$G$277+'Price Catalog'!$G$288+'Price Catalog'!$G$289+'Price Catalog'!$G$290)</x:f>
        <x:v>4.9227420530020485</x:v>
      </x:c>
      <x:c r="G37" s="52" t="n">
        <x:f>D37*('Price Catalog'!$G$157+'Price Catalog'!$G$175+'Price Catalog'!$G$154)</x:f>
        <x:v>7.497714819187736</x:v>
      </x:c>
      <x:c r="H37" s="18" t="n">
        <x:f>D11+F37+G37</x:f>
        <x:v>5124.498742682009</x:v>
      </x:c>
      <x:c r="I37" s="52" t="n">
        <x:f>E37*'Basis'!$F$86</x:f>
        <x:v>1.1360173968466265</x:v>
      </x:c>
      <x:c r="J37" s="11" t="str">
        <x:v>Personal gear: blanket, waterskin, boots. Warship rowers receive light arms; marines receive infantry arms, officers sword/mail/helm.</x:v>
      </x:c>
      <x:c r="K37" s="11"/>
      <x:c r="L37" s="11"/>
      <x:c r="M37" s="11"/>
      <x:c r="N37" s="11"/>
      <x:c r="O37" s="11"/>
      <x:c r="P37" s="11"/>
      <x:c r="Q37" s="11"/>
      <x:c r="R37" s="11"/>
    </x:row>
    <x:row r="38" ht="62" customHeight="1">
      <x:c r="C38" s="2" t="str">
        <x:v>Forty-oar longship</x:v>
      </x:c>
      <x:c r="D38" s="2" t="n">
        <x:f>I12</x:f>
        <x:v>42</x:v>
      </x:c>
      <x:c r="E38" s="2" t="n">
        <x:f>E12+G12+H12</x:f>
        <x:v>42</x:v>
      </x:c>
      <x:c r="F38" s="52" t="n">
        <x:f>E12*('Price Catalog'!$G$279+'Price Catalog'!$G$288+'Price Catalog'!$G$223)+G12*('Price Catalog'!$G$277+'Price Catalog'!$G$288+'Price Catalog'!$G$289+'Price Catalog'!$G$290)+H12*('Price Catalog'!$G$273+'Price Catalog'!$G$274+'Price Catalog'!$G$289)</x:f>
        <x:v>31.524482762493882</x:v>
      </x:c>
      <x:c r="G38" s="52" t="n">
        <x:f>D38*('Price Catalog'!$G$157+'Price Catalog'!$G$175+'Price Catalog'!$G$154)</x:f>
        <x:v>9.542546133511664</x:v>
      </x:c>
      <x:c r="H38" s="18" t="n">
        <x:f>D12+F38+G38</x:f>
        <x:v>893.0800765309755</x:v>
      </x:c>
      <x:c r="I38" s="52" t="n">
        <x:f>E38*'Basis'!$F$86</x:f>
        <x:v>11.928182666889578</x:v>
      </x:c>
      <x:c r="J38" s="11" t="str">
        <x:v>Personal gear: blanket, waterskin, boots. Warship rowers receive light arms; marines receive infantry arms, officers sword/mail/helm.</x:v>
      </x:c>
      <x:c r="K38" s="11"/>
      <x:c r="L38" s="11"/>
      <x:c r="M38" s="11"/>
      <x:c r="N38" s="11"/>
      <x:c r="O38" s="11"/>
      <x:c r="P38" s="11"/>
      <x:c r="Q38" s="11"/>
      <x:c r="R38" s="11"/>
    </x:row>
    <x:row r="39" ht="62" customHeight="1">
      <x:c r="C39" s="2" t="str">
        <x:v>Hundred-oar war galley</x:v>
      </x:c>
      <x:c r="D39" s="2" t="n">
        <x:f>I13</x:f>
        <x:v>135</x:v>
      </x:c>
      <x:c r="E39" s="2" t="n">
        <x:f>E13+G13+H13</x:f>
        <x:v>125</x:v>
      </x:c>
      <x:c r="F39" s="52" t="n">
        <x:f>E13*('Price Catalog'!$G$279+'Price Catalog'!$G$288+'Price Catalog'!$G$223)+G13*('Price Catalog'!$G$277+'Price Catalog'!$G$288+'Price Catalog'!$G$289+'Price Catalog'!$G$290)+H13*('Price Catalog'!$G$273+'Price Catalog'!$G$274+'Price Catalog'!$G$289)</x:f>
        <x:v>103.42491717124494</x:v>
      </x:c>
      <x:c r="G39" s="52" t="n">
        <x:f>D39*('Price Catalog'!$G$157+'Price Catalog'!$G$175+'Price Catalog'!$G$154)</x:f>
        <x:v>30.67246971485892</x:v>
      </x:c>
      <x:c r="H39" s="18" t="n">
        <x:f>D13+F39+G39</x:f>
        <x:v>4678.166974272611</x:v>
      </x:c>
      <x:c r="I39" s="52" t="n">
        <x:f>E39*'Basis'!$F$86</x:f>
        <x:v>35.50054365145708</x:v>
      </x:c>
      <x:c r="J39" s="11" t="str">
        <x:v>Personal gear: blanket, waterskin, boots. Warship rowers receive light arms; marines receive infantry arms, officers sword/mail/helm.</x:v>
      </x:c>
      <x:c r="K39" s="11"/>
      <x:c r="L39" s="11"/>
      <x:c r="M39" s="11"/>
      <x:c r="N39" s="11"/>
      <x:c r="O39" s="11"/>
      <x:c r="P39" s="11"/>
      <x:c r="Q39" s="11"/>
      <x:c r="R39" s="11"/>
    </x:row>
    <x:row r="40" ht="62" customHeight="1">
      <x:c r="C40" s="2" t="str">
        <x:v>Two-hundred-oar great galley</x:v>
      </x:c>
      <x:c r="D40" s="2" t="n">
        <x:f>I14</x:f>
        <x:v>268</x:v>
      </x:c>
      <x:c r="E40" s="2" t="n">
        <x:f>E14+G14+H14</x:f>
        <x:v>248</x:v>
      </x:c>
      <x:c r="F40" s="52" t="n">
        <x:f>E14*('Price Catalog'!$G$279+'Price Catalog'!$G$288+'Price Catalog'!$G$223)+G14*('Price Catalog'!$G$277+'Price Catalog'!$G$288+'Price Catalog'!$G$289+'Price Catalog'!$G$290)+H14*('Price Catalog'!$G$273+'Price Catalog'!$G$274+'Price Catalog'!$G$289)</x:f>
        <x:v>196.53100965446637</x:v>
      </x:c>
      <x:c r="G40" s="52" t="n">
        <x:f>D40*('Price Catalog'!$G$157+'Price Catalog'!$G$175+'Price Catalog'!$G$154)</x:f>
        <x:v>60.89053247097919</x:v>
      </x:c>
      <x:c r="H40" s="18" t="n">
        <x:f>D14+F40+G40</x:f>
        <x:v>8777.552018475146</x:v>
      </x:c>
      <x:c r="I40" s="52" t="n">
        <x:f>E40*'Basis'!$F$86</x:f>
        <x:v>70.43307860449085</x:v>
      </x:c>
      <x:c r="J40" s="11" t="str">
        <x:v>Personal gear: blanket, waterskin, boots. Warship rowers receive light arms; marines receive infantry arms, officers sword/mail/helm.</x:v>
      </x:c>
      <x:c r="K40" s="11"/>
      <x:c r="L40" s="11"/>
      <x:c r="M40" s="11"/>
      <x:c r="N40" s="11"/>
      <x:c r="O40" s="11"/>
      <x:c r="P40" s="11"/>
      <x:c r="Q40" s="11"/>
      <x:c r="R40" s="11"/>
    </x:row>
    <x:row r="41" ht="26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6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42" customHeight="1">
      <x:c r="C43" s="5" t="str">
        <x:v>Annual arms care above is already included in Stores / port / arms in the main table. First weapons and personal gear are included only in the ready-to-serve capital total, not in the hull price or recurring upkeep.</x:v>
      </x:c>
      <x:c r="D43" s="5"/>
      <x:c r="E43" s="5"/>
      <x:c r="F43" s="5"/>
      <x:c r="G43" s="5"/>
      <x:c r="H43" s="5"/>
      <x:c r="I43" s="5"/>
      <x:c r="J43" s="5"/>
      <x:c r="K43" s="2"/>
      <x:c r="L43" s="2"/>
      <x:c r="M43" s="2"/>
      <x:c r="N43" s="2"/>
      <x:c r="O43" s="2"/>
      <x:c r="P43" s="2"/>
      <x:c r="Q43" s="2"/>
      <x:c r="R43" s="2"/>
    </x:row>
    <x:row r="44" ht="26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6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6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6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6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</x:sheetData>
  <x:mergeCells>
    <x:mergeCell ref="C2:J2"/>
    <x:mergeCell ref="C4:J4"/>
    <x:mergeCell ref="C17:J17"/>
    <x:mergeCell ref="C25:J25"/>
    <x:mergeCell ref="C27:J27"/>
    <x:mergeCell ref="C30:J30"/>
    <x:mergeCell ref="J32:R32"/>
    <x:mergeCell ref="J33:R33"/>
    <x:mergeCell ref="J34:R34"/>
    <x:mergeCell ref="J35:R35"/>
    <x:mergeCell ref="J36:R36"/>
    <x:mergeCell ref="J37:R37"/>
    <x:mergeCell ref="J38:R38"/>
    <x:mergeCell ref="J39:R39"/>
    <x:mergeCell ref="J40:R40"/>
    <x:mergeCell ref="C43:J4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89493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1" hidden="0" customWidth="1"/>
    <x:col min="4" max="4" width="34" hidden="0" customWidth="1"/>
    <x:col min="5" max="5" width="63" hidden="0" customWidth="1"/>
    <x:col min="6" max="6" width="22" hidden="0" customWidth="1"/>
    <x:col min="7" max="7" width="19" hidden="0" customWidth="1"/>
    <x:col min="8" max="8" width="24" hidden="0" customWidth="1"/>
    <x:col min="9" max="9" width="72" hidden="0" customWidth="1"/>
    <x:col min="10" max="10" width="12" hidden="0" customWidth="1"/>
    <x:col min="11" max="11" width="12" hidden="0" customWidth="1"/>
  </x:cols>
  <x:sheetData>
    <x:row r="1" ht="26" customHeight="1"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C2" s="3" t="str">
        <x:v>Construction prices and quantities</x:v>
      </x:c>
      <x:c r="D2" s="3"/>
      <x:c r="E2" s="3"/>
      <x:c r="F2" s="3"/>
      <x:c r="G2" s="3"/>
      <x:c r="H2" s="3"/>
      <x:c r="I2" s="3"/>
      <x:c r="J2" s="3"/>
      <x:c r="K2" s="2"/>
    </x:row>
    <x:row r="3" ht="26" customHeight="1">
      <x:c r="C3" s="2"/>
      <x:c r="D3" s="2"/>
      <x:c r="E3" s="2"/>
      <x:c r="F3" s="2"/>
      <x:c r="G3" s="2"/>
      <x:c r="H3" s="2"/>
      <x:c r="I3" s="2"/>
      <x:c r="J3" s="2"/>
      <x:c r="K3" s="2"/>
    </x:row>
    <x:row r="4" ht="46" customHeight="1">
      <x:c r="C4" s="5" t="str">
        <x:v>Thirty defined projects. Headline quotes roll up from the bill of quantities below. Material and labour components are visible; anchor-based structural allowances are identified explicitly.</x:v>
      </x:c>
      <x:c r="D4" s="5"/>
      <x:c r="E4" s="5"/>
      <x:c r="F4" s="5"/>
      <x:c r="G4" s="5"/>
      <x:c r="H4" s="5"/>
      <x:c r="I4" s="5"/>
      <x:c r="J4" s="5"/>
      <x:c r="K4" s="2"/>
    </x:row>
    <x:row r="5" ht="26" customHeight="1"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C6" s="8" t="str">
        <x:v>Code</x:v>
      </x:c>
      <x:c r="D6" s="8" t="str">
        <x:v>Project</x:v>
      </x:c>
      <x:c r="E6" s="8" t="str">
        <x:v>Defined scope</x:v>
      </x:c>
      <x:c r="F6" s="8" t="str">
        <x:v>Component subtotal GD</x:v>
      </x:c>
      <x:c r="G6" s="8" t="str">
        <x:v>Site allowance</x:v>
      </x:c>
      <x:c r="H6" s="8" t="str">
        <x:v>Quoted total GD</x:v>
      </x:c>
      <x:c r="I6" s="8" t="str">
        <x:v>Indicative build time</x:v>
      </x:c>
      <x:c r="J6" s="2"/>
      <x:c r="K6" s="2"/>
    </x:row>
    <x:row r="7" ht="54" customHeight="1">
      <x:c r="C7" s="2" t="str">
        <x:v>granary</x:v>
      </x:c>
      <x:c r="D7" s="2" t="str">
        <x:v>Timber granary</x:v>
      </x:c>
      <x:c r="E7" s="11" t="str">
        <x:v>1,000-quarter grain capacity; raised timber storage floor.</x:v>
      </x:c>
      <x:c r="F7" s="18" t="n">
        <x:f>SUM(H44:H44)</x:f>
        <x:v>189.33623280777107</x:v>
      </x:c>
      <x:c r="G7" s="38" t="n">
        <x:v>0</x:v>
      </x:c>
      <x:c r="H7" s="18" t="n">
        <x:f>F7*(1+G7)</x:f>
        <x:v>189.33623280777107</x:v>
      </x:c>
      <x:c r="I7" s="39" t="str">
        <x:v>4-8 months</x:v>
      </x:c>
      <x:c r="J7" s="2"/>
      <x:c r="K7" s="2"/>
    </x:row>
    <x:row r="8" ht="54" customHeight="1">
      <x:c r="C8" s="12" t="str">
        <x:v>wall</x:v>
      </x:c>
      <x:c r="D8" s="12" t="str">
        <x:v>Stone curtain wall</x:v>
      </x:c>
      <x:c r="E8" s="61" t="str">
        <x:v>10-yard section, assumed 9 ft high and 4.5 ft thick; no gate or tower.</x:v>
      </x:c>
      <x:c r="F8" s="25" t="n">
        <x:f>SUM(H45:H45)</x:f>
        <x:v>284.00434921165663</x:v>
      </x:c>
      <x:c r="G8" s="64" t="n">
        <x:v>0</x:v>
      </x:c>
      <x:c r="H8" s="25" t="n">
        <x:f>F8*(1+G8)</x:f>
        <x:v>284.00434921165663</x:v>
      </x:c>
      <x:c r="I8" s="65" t="str">
        <x:v>1-3 months per section</x:v>
      </x:c>
      <x:c r="J8" s="2"/>
      <x:c r="K8" s="2"/>
    </x:row>
    <x:row r="9" ht="54" customHeight="1">
      <x:c r="C9" s="2" t="str">
        <x:v>cottage</x:v>
      </x:c>
      <x:c r="D9" s="2" t="str">
        <x:v>Small timber cottage</x:v>
      </x:c>
      <x:c r="E9" s="11" t="str">
        <x:v>About 300 sq ft, one room, basic hearth and shingles.</x:v>
      </x:c>
      <x:c r="F9" s="18" t="n">
        <x:f>SUM(H46:H52)</x:f>
        <x:v>6.8821788623249205</x:v>
      </x:c>
      <x:c r="G9" s="38" t="n">
        <x:v>0.1</x:v>
      </x:c>
      <x:c r="H9" s="18" t="n">
        <x:f>F9*(1+G9)</x:f>
        <x:v>7.570396748557413</x:v>
      </x:c>
      <x:c r="I9" s="39" t="str">
        <x:v>1-3 months</x:v>
      </x:c>
      <x:c r="J9" s="2"/>
      <x:c r="K9" s="2"/>
    </x:row>
    <x:row r="10" ht="54" customHeight="1">
      <x:c r="C10" s="12" t="str">
        <x:v>townhouse</x:v>
      </x:c>
      <x:c r="D10" s="12" t="str">
        <x:v>Modest stone-and-timber house</x:v>
      </x:c>
      <x:c r="E10" s="61" t="str">
        <x:v>About 1,200 sq ft over two floors; glazed small windows.</x:v>
      </x:c>
      <x:c r="F10" s="25" t="n">
        <x:f>SUM(H53:H61)</x:f>
        <x:v>74.10465591906113</x:v>
      </x:c>
      <x:c r="G10" s="64" t="n">
        <x:v>0.15</x:v>
      </x:c>
      <x:c r="H10" s="25" t="n">
        <x:f>F10*(1+G10)</x:f>
        <x:v>85.2203543069203</x:v>
      </x:c>
      <x:c r="I10" s="65" t="str">
        <x:v>6-12 months</x:v>
      </x:c>
      <x:c r="J10" s="2"/>
      <x:c r="K10" s="2"/>
    </x:row>
    <x:row r="11" ht="54" customHeight="1">
      <x:c r="C11" s="2" t="str">
        <x:v>hall</x:v>
      </x:c>
      <x:c r="D11" s="2" t="str">
        <x:v>Lordly timber hall</x:v>
      </x:c>
      <x:c r="E11" s="11" t="str">
        <x:v>About 3,000 sq ft, strong frame, hearth, service rooms and fittings.</x:v>
      </x:c>
      <x:c r="F11" s="18" t="n">
        <x:f>SUM(H62:H66)</x:f>
        <x:v>604.2530629893723</x:v>
      </x:c>
      <x:c r="G11" s="38" t="n">
        <x:v>0.1</x:v>
      </x:c>
      <x:c r="H11" s="18" t="n">
        <x:f>F11*(1+G11)</x:f>
        <x:v>664.6783692883096</x:v>
      </x:c>
      <x:c r="I11" s="39" t="str">
        <x:v>9-18 months</x:v>
      </x:c>
      <x:c r="J11" s="2"/>
      <x:c r="K11" s="2"/>
    </x:row>
    <x:row r="12" ht="54" customHeight="1">
      <x:c r="C12" s="12" t="str">
        <x:v>woodkeep</x:v>
      </x:c>
      <x:c r="D12" s="12" t="str">
        <x:v>Wooden keep</x:v>
      </x:c>
      <x:c r="E12" s="61" t="str">
        <x:v>40 x 40 ft, three levels, heavy defensive frame; no outer enclosure.</x:v>
      </x:c>
      <x:c r="F12" s="25" t="n">
        <x:f>SUM(H67:H70)</x:f>
        <x:v>2131.258796595132</x:v>
      </x:c>
      <x:c r="G12" s="64" t="n">
        <x:v>0.15</x:v>
      </x:c>
      <x:c r="H12" s="25" t="n">
        <x:f>F12*(1+G12)</x:f>
        <x:v>2450.9476160844015</x:v>
      </x:c>
      <x:c r="I12" s="65" t="str">
        <x:v>1-2 years</x:v>
      </x:c>
      <x:c r="J12" s="2"/>
      <x:c r="K12" s="2"/>
    </x:row>
    <x:row r="13" ht="54" customHeight="1">
      <x:c r="C13" s="2" t="str">
        <x:v>tower</x:v>
      </x:c>
      <x:c r="D13" s="2" t="str">
        <x:v>Stone defensive tower</x:v>
      </x:c>
      <x:c r="E13" s="11" t="str">
        <x:v>About 25-ft outside diameter, 40 ft high; floors, roof and stair.</x:v>
      </x:c>
      <x:c r="F13" s="18" t="n">
        <x:f>SUM(H71:H74)</x:f>
        <x:v>3815.1701711320175</x:v>
      </x:c>
      <x:c r="G13" s="38" t="n">
        <x:v>0.15</x:v>
      </x:c>
      <x:c r="H13" s="18" t="n">
        <x:f>F13*(1+G13)</x:f>
        <x:v>4387.445696801819</x:v>
      </x:c>
      <x:c r="I13" s="39" t="str">
        <x:v>1-2 years</x:v>
      </x:c>
      <x:c r="J13" s="2"/>
      <x:c r="K13" s="2"/>
    </x:row>
    <x:row r="14" ht="54" customHeight="1">
      <x:c r="C14" s="12" t="str">
        <x:v>gatehouse</x:v>
      </x:c>
      <x:c r="D14" s="12" t="str">
        <x:v>Fortified gatehouse</x:v>
      </x:c>
      <x:c r="E14" s="61" t="str">
        <x:v>Two small flanking towers, gate passage, doors and lifting gear.</x:v>
      </x:c>
      <x:c r="F14" s="25" t="n">
        <x:f>SUM(H75:H79)</x:f>
        <x:v>10583.683537693878</x:v>
      </x:c>
      <x:c r="G14" s="64" t="n">
        <x:v>0.1</x:v>
      </x:c>
      <x:c r="H14" s="25" t="n">
        <x:f>F14*(1+G14)</x:f>
        <x:v>11642.051891463267</x:v>
      </x:c>
      <x:c r="I14" s="65" t="str">
        <x:v>2-3 years</x:v>
      </x:c>
      <x:c r="J14" s="2"/>
      <x:c r="K14" s="2"/>
    </x:row>
    <x:row r="15" ht="54" customHeight="1">
      <x:c r="C15" s="2" t="str">
        <x:v>stonekeep</x:v>
      </x:c>
      <x:c r="D15" s="2" t="str">
        <x:v>Stone residential keep</x:v>
      </x:c>
      <x:c r="E15" s="11" t="str">
        <x:v>About 60 x 60 ft, three major floors, chambers and service rooms.</x:v>
      </x:c>
      <x:c r="F15" s="18" t="n">
        <x:f>SUM(H80:H84)</x:f>
        <x:v>16619.736163622252</x:v>
      </x:c>
      <x:c r="G15" s="38" t="n">
        <x:v>0.15</x:v>
      </x:c>
      <x:c r="H15" s="18" t="n">
        <x:f>F15*(1+G15)</x:f>
        <x:v>19112.69658816559</x:v>
      </x:c>
      <x:c r="I15" s="39" t="str">
        <x:v>3-5 years</x:v>
      </x:c>
      <x:c r="J15" s="2"/>
      <x:c r="K15" s="2"/>
    </x:row>
    <x:row r="16" ht="54" customHeight="1">
      <x:c r="C16" s="12" t="str">
        <x:v>palisade</x:v>
      </x:c>
      <x:c r="D16" s="12" t="str">
        <x:v>Timber palisade</x:v>
      </x:c>
      <x:c r="E16" s="61" t="str">
        <x:v>100-yard perimeter, roughly 10 ft high, one plain gate.</x:v>
      </x:c>
      <x:c r="F16" s="25" t="n">
        <x:f>SUM(H85:H88)</x:f>
        <x:v>47.14729797230245</x:v>
      </x:c>
      <x:c r="G16" s="64" t="n">
        <x:v>0.15</x:v>
      </x:c>
      <x:c r="H16" s="25" t="n">
        <x:f>F16*(1+G16)</x:f>
        <x:v>54.21939266814781</x:v>
      </x:c>
      <x:c r="I16" s="65" t="str">
        <x:v>2-4 months</x:v>
      </x:c>
      <x:c r="J16" s="2"/>
      <x:c r="K16" s="2"/>
    </x:row>
    <x:row r="17" ht="54" customHeight="1">
      <x:c r="C17" s="2" t="str">
        <x:v>barracks</x:v>
      </x:c>
      <x:c r="D17" s="2" t="str">
        <x:v>Barracks for 100 troops</x:v>
      </x:c>
      <x:c r="E17" s="11" t="str">
        <x:v>Timber quarters, bunks, hearths and basic sanitation; no defensive wall.</x:v>
      </x:c>
      <x:c r="F17" s="18" t="n">
        <x:f>SUM(H89:H94)</x:f>
        <x:v>452.0627958562686</x:v>
      </x:c>
      <x:c r="G17" s="38" t="n">
        <x:v>0.1</x:v>
      </x:c>
      <x:c r="H17" s="18" t="n">
        <x:f>F17*(1+G17)</x:f>
        <x:v>497.26907544189555</x:v>
      </x:c>
      <x:c r="I17" s="39" t="str">
        <x:v>6-12 months</x:v>
      </x:c>
      <x:c r="J17" s="2"/>
      <x:c r="K17" s="2"/>
    </x:row>
    <x:row r="18" ht="54" customHeight="1">
      <x:c r="C18" s="12" t="str">
        <x:v>stable</x:v>
      </x:c>
      <x:c r="D18" s="12" t="str">
        <x:v>Stable for 50 horses</x:v>
      </x:c>
      <x:c r="E18" s="61" t="str">
        <x:v>Covered stalls, tack room and adjacent hay space; no horses.</x:v>
      </x:c>
      <x:c r="F18" s="25" t="n">
        <x:f>SUM(H95:H98)</x:f>
        <x:v>311.0073024144793</x:v>
      </x:c>
      <x:c r="G18" s="64" t="n">
        <x:v>0.1</x:v>
      </x:c>
      <x:c r="H18" s="25" t="n">
        <x:f>F18*(1+G18)</x:f>
        <x:v>342.1080326559272</x:v>
      </x:c>
      <x:c r="I18" s="65" t="str">
        <x:v>6-12 months</x:v>
      </x:c>
      <x:c r="J18" s="2"/>
      <x:c r="K18" s="2"/>
    </x:row>
    <x:row r="19" ht="54" customHeight="1">
      <x:c r="C19" s="2" t="str">
        <x:v>smithy</x:v>
      </x:c>
      <x:c r="D19" s="2" t="str">
        <x:v>Village smithy</x:v>
      </x:c>
      <x:c r="E19" s="11" t="str">
        <x:v>400 sq ft workshop, hearth, anvil, bellows and basic tools.</x:v>
      </x:c>
      <x:c r="F19" s="18" t="n">
        <x:f>SUM(H99:H107)</x:f>
        <x:v>15.733493185898173</x:v>
      </x:c>
      <x:c r="G19" s="38" t="n">
        <x:v>0.1</x:v>
      </x:c>
      <x:c r="H19" s="18" t="n">
        <x:f>F19*(1+G19)</x:f>
        <x:v>17.306842504487992</x:v>
      </x:c>
      <x:c r="I19" s="39" t="str">
        <x:v>3-6 months</x:v>
      </x:c>
      <x:c r="J19" s="2"/>
      <x:c r="K19" s="2"/>
    </x:row>
    <x:row r="20" ht="54" customHeight="1">
      <x:c r="C20" s="12" t="str">
        <x:v>watermill</x:v>
      </x:c>
      <x:c r="D20" s="12" t="str">
        <x:v>Water-powered grain mill</x:v>
      </x:c>
      <x:c r="E20" s="61" t="str">
        <x:v>One milling line with wheel, millstones, timber leat and small pond works.</x:v>
      </x:c>
      <x:c r="F20" s="25" t="n">
        <x:f>SUM(H108:H114)</x:f>
        <x:v>484.97123632047646</x:v>
      </x:c>
      <x:c r="G20" s="64" t="n">
        <x:v>0.2</x:v>
      </x:c>
      <x:c r="H20" s="25" t="n">
        <x:f>F20*(1+G20)</x:f>
        <x:v>581.9654835845718</x:v>
      </x:c>
      <x:c r="I20" s="65" t="str">
        <x:v>1-2 years</x:v>
      </x:c>
      <x:c r="J20" s="2"/>
      <x:c r="K20" s="2"/>
    </x:row>
    <x:row r="21" ht="54" customHeight="1">
      <x:c r="C21" s="2" t="str">
        <x:v>windmill</x:v>
      </x:c>
      <x:c r="D21" s="2" t="str">
        <x:v>Timber grain windmill</x:v>
      </x:c>
      <x:c r="E21" s="11" t="str">
        <x:v>One milling line, timber sails and geared machinery on ordinary ground.</x:v>
      </x:c>
      <x:c r="F21" s="18" t="n">
        <x:f>SUM(H115:H119)</x:f>
        <x:v>511.9033494361941</x:v>
      </x:c>
      <x:c r="G21" s="38" t="n">
        <x:v>0.2</x:v>
      </x:c>
      <x:c r="H21" s="18" t="n">
        <x:f>F21*(1+G21)</x:f>
        <x:v>614.2840193234329</x:v>
      </x:c>
      <x:c r="I21" s="39" t="str">
        <x:v>1-2 years</x:v>
      </x:c>
      <x:c r="J21" s="2"/>
      <x:c r="K21" s="2"/>
    </x:row>
    <x:row r="22" ht="54" customHeight="1">
      <x:c r="C22" s="12" t="str">
        <x:v>warehouse</x:v>
      </x:c>
      <x:c r="D22" s="12" t="str">
        <x:v>Dry cargo warehouse</x:v>
      </x:c>
      <x:c r="E22" s="61" t="str">
        <x:v>About 5,000 sq ft, lockable doors and raised dry floor.</x:v>
      </x:c>
      <x:c r="F22" s="25" t="n">
        <x:f>SUM(H120:H123)</x:f>
        <x:v>201.03901519750855</x:v>
      </x:c>
      <x:c r="G22" s="64" t="n">
        <x:v>0.1</x:v>
      </x:c>
      <x:c r="H22" s="25" t="n">
        <x:f>F22*(1+G22)</x:f>
        <x:v>221.14291671725942</x:v>
      </x:c>
      <x:c r="I22" s="65" t="str">
        <x:v>6-12 months</x:v>
      </x:c>
      <x:c r="J22" s="2"/>
      <x:c r="K22" s="2"/>
    </x:row>
    <x:row r="23" ht="54" customHeight="1">
      <x:c r="C23" s="2" t="str">
        <x:v>inn</x:v>
      </x:c>
      <x:c r="D23" s="2" t="str">
        <x:v>Roadside inn</x:v>
      </x:c>
      <x:c r="E23" s="11" t="str">
        <x:v>About 2,500 sq ft, common room, 10 chambers and small stable.</x:v>
      </x:c>
      <x:c r="F23" s="18" t="n">
        <x:f>SUM(H124:H131)</x:f>
        <x:v>256.2641181422775</x:v>
      </x:c>
      <x:c r="G23" s="38" t="n">
        <x:v>0.15</x:v>
      </x:c>
      <x:c r="H23" s="18" t="n">
        <x:f>F23*(1+G23)</x:f>
        <x:v>294.7037358636191</x:v>
      </x:c>
      <x:c r="I23" s="39" t="str">
        <x:v>1-2 years</x:v>
      </x:c>
      <x:c r="J23" s="2"/>
      <x:c r="K23" s="2"/>
    </x:row>
    <x:row r="24" ht="54" customHeight="1">
      <x:c r="C24" s="12" t="str">
        <x:v>well</x:v>
      </x:c>
      <x:c r="D24" s="12" t="str">
        <x:v>Lined village well</x:v>
      </x:c>
      <x:c r="E24" s="61" t="str">
        <x:v>About 40 ft deep in workable ground; windlass and cover.</x:v>
      </x:c>
      <x:c r="F24" s="25" t="n">
        <x:f>SUM(H132:H137)</x:f>
        <x:v>37.04653195240379</x:v>
      </x:c>
      <x:c r="G24" s="64" t="n">
        <x:v>0.2</x:v>
      </x:c>
      <x:c r="H24" s="25" t="n">
        <x:f>F24*(1+G24)</x:f>
        <x:v>44.45583834288455</x:v>
      </x:c>
      <x:c r="I24" s="65" t="str">
        <x:v>1-3 months</x:v>
      </x:c>
      <x:c r="J24" s="2"/>
      <x:c r="K24" s="2"/>
    </x:row>
    <x:row r="25" ht="54" customHeight="1">
      <x:c r="C25" s="2" t="str">
        <x:v>cistern</x:v>
      </x:c>
      <x:c r="D25" s="2" t="str">
        <x:v>Stone rainwater cistern</x:v>
      </x:c>
      <x:c r="E25" s="11" t="str">
        <x:v>About 20,000 gallons, lined tank and collection fittings.</x:v>
      </x:c>
      <x:c r="F25" s="18" t="n">
        <x:f>SUM(H138:H142)</x:f>
        <x:v>131.34009749574173</x:v>
      </x:c>
      <x:c r="G25" s="38" t="n">
        <x:v>0.2</x:v>
      </x:c>
      <x:c r="H25" s="18" t="n">
        <x:f>F25*(1+G25)</x:f>
        <x:v>157.60811699489008</x:v>
      </x:c>
      <x:c r="I25" s="39" t="str">
        <x:v>4-8 months</x:v>
      </x:c>
      <x:c r="J25" s="2"/>
      <x:c r="K25" s="2"/>
    </x:row>
    <x:row r="26" ht="54" customHeight="1">
      <x:c r="C26" s="12" t="str">
        <x:v>bridge_wood</x:v>
      </x:c>
      <x:c r="D26" s="12" t="str">
        <x:v>Timber bridge</x:v>
      </x:c>
      <x:c r="E26" s="61" t="str">
        <x:v>30-ft clear span, 12-ft deck; ordinary banks and light cart traffic.</x:v>
      </x:c>
      <x:c r="F26" s="25" t="n">
        <x:f>SUM(H143:H149)</x:f>
        <x:v>118.05539156087156</x:v>
      </x:c>
      <x:c r="G26" s="64" t="n">
        <x:v>0.2</x:v>
      </x:c>
      <x:c r="H26" s="25" t="n">
        <x:f>F26*(1+G26)</x:f>
        <x:v>141.66646987304586</x:v>
      </x:c>
      <x:c r="I26" s="65" t="str">
        <x:v>4-8 months</x:v>
      </x:c>
      <x:c r="J26" s="2"/>
      <x:c r="K26" s="2"/>
    </x:row>
    <x:row r="27" ht="54" customHeight="1">
      <x:c r="C27" s="2" t="str">
        <x:v>bridge_stone</x:v>
      </x:c>
      <x:c r="D27" s="2" t="str">
        <x:v>Stone arch bridge</x:v>
      </x:c>
      <x:c r="E27" s="11" t="str">
        <x:v>30-ft single span, 12-ft carriageway; stable banks.</x:v>
      </x:c>
      <x:c r="F27" s="18" t="n">
        <x:f>SUM(H150:H154)</x:f>
        <x:v>3488.42606536757</x:v>
      </x:c>
      <x:c r="G27" s="38" t="n">
        <x:v>0.25</x:v>
      </x:c>
      <x:c r="H27" s="18" t="n">
        <x:f>F27*(1+G27)</x:f>
        <x:v>4360.532581709463</x:v>
      </x:c>
      <x:c r="I27" s="39" t="str">
        <x:v>1-2 years</x:v>
      </x:c>
      <x:c r="J27" s="2"/>
      <x:c r="K27" s="2"/>
    </x:row>
    <x:row r="28" ht="54" customHeight="1">
      <x:c r="C28" s="12" t="str">
        <x:v>road_mile</x:v>
      </x:c>
      <x:c r="D28" s="12" t="str">
        <x:v>Gravel road</x:v>
      </x:c>
      <x:c r="E28" s="61" t="str">
        <x:v>One mile, 12-ft width and about 6-in compacted stone depth; no major bridges.</x:v>
      </x:c>
      <x:c r="F28" s="25" t="n">
        <x:f>SUM(H155:H159)</x:f>
        <x:v>177.15148022540322</x:v>
      </x:c>
      <x:c r="G28" s="64" t="n">
        <x:v>0.15</x:v>
      </x:c>
      <x:c r="H28" s="25" t="n">
        <x:f>F28*(1+G28)</x:f>
        <x:v>203.72420225921368</x:v>
      </x:c>
      <x:c r="I28" s="65" t="str">
        <x:v>Seasonal crew schedule</x:v>
      </x:c>
      <x:c r="J28" s="2"/>
      <x:c r="K28" s="2"/>
    </x:row>
    <x:row r="29" ht="54" customHeight="1">
      <x:c r="C29" s="2" t="str">
        <x:v>road_100</x:v>
      </x:c>
      <x:c r="D29" s="2" t="str">
        <x:v>Gravel road, 100 miles</x:v>
      </x:c>
      <x:c r="E29" s="11" t="str">
        <x:v>Same standard as one-mile road; major bridges and extraordinary terrain extra.</x:v>
      </x:c>
      <x:c r="F29" s="18" t="n">
        <x:f>SUM(H160:H160)</x:f>
        <x:v>20372.420225921367</x:v>
      </x:c>
      <x:c r="G29" s="38" t="n">
        <x:v>0</x:v>
      </x:c>
      <x:c r="H29" s="18" t="n">
        <x:f>F29*(1+G29)</x:f>
        <x:v>20372.420225921367</x:v>
      </x:c>
      <x:c r="I29" s="39" t="str">
        <x:v>3-6 construction seasons</x:v>
      </x:c>
      <x:c r="J29" s="2"/>
      <x:c r="K29" s="2"/>
    </x:row>
    <x:row r="30" ht="54" customHeight="1">
      <x:c r="C30" s="12" t="str">
        <x:v>quay</x:v>
      </x:c>
      <x:c r="D30" s="12" t="str">
        <x:v>Functional timber wharf</x:v>
      </x:c>
      <x:c r="E30" s="61" t="str">
        <x:v>60-ft working frontage, piles, deck and simple mooring fittings.</x:v>
      </x:c>
      <x:c r="F30" s="25" t="n">
        <x:f>SUM(H161:H165)</x:f>
        <x:v>860.0604815300919</x:v>
      </x:c>
      <x:c r="G30" s="64" t="n">
        <x:v>0.2</x:v>
      </x:c>
      <x:c r="H30" s="25" t="n">
        <x:f>F30*(1+G30)</x:f>
        <x:v>1032.0725778361102</x:v>
      </x:c>
      <x:c r="I30" s="65" t="str">
        <x:v>6-12 months</x:v>
      </x:c>
      <x:c r="J30" s="2"/>
      <x:c r="K30" s="2"/>
    </x:row>
    <x:row r="31" ht="54" customHeight="1">
      <x:c r="C31" s="2" t="str">
        <x:v>stone_quay</x:v>
      </x:c>
      <x:c r="D31" s="2" t="str">
        <x:v>Stone-faced cargo quay</x:v>
      </x:c>
      <x:c r="E31" s="11" t="str">
        <x:v>120-ft working frontage, ordinary depth, heavy mooring points.</x:v>
      </x:c>
      <x:c r="F31" s="18" t="n">
        <x:f>SUM(H166:H170)</x:f>
        <x:v>3121.7320144806827</x:v>
      </x:c>
      <x:c r="G31" s="38" t="n">
        <x:v>0.2</x:v>
      </x:c>
      <x:c r="H31" s="18" t="n">
        <x:f>F31*(1+G31)</x:f>
        <x:v>3746.078417376819</x:v>
      </x:c>
      <x:c r="I31" s="39" t="str">
        <x:v>1-3 years</x:v>
      </x:c>
      <x:c r="J31" s="2"/>
      <x:c r="K31" s="2"/>
    </x:row>
    <x:row r="32" ht="54" customHeight="1">
      <x:c r="C32" s="12" t="str">
        <x:v>breakwater</x:v>
      </x:c>
      <x:c r="D32" s="12" t="str">
        <x:v>Harbour breakwater</x:v>
      </x:c>
      <x:c r="E32" s="61" t="str">
        <x:v>300-yard ordinary rubble-and-masonry breakwater in shallow water.</x:v>
      </x:c>
      <x:c r="F32" s="25" t="n">
        <x:f>SUM(H171:H174)</x:f>
        <x:v>22490.31600608534</x:v>
      </x:c>
      <x:c r="G32" s="64" t="n">
        <x:v>0.25</x:v>
      </x:c>
      <x:c r="H32" s="25" t="n">
        <x:f>F32*(1+G32)</x:f>
        <x:v>28112.895007606676</x:v>
      </x:c>
      <x:c r="I32" s="65" t="str">
        <x:v>2-4 years</x:v>
      </x:c>
      <x:c r="J32" s="2"/>
      <x:c r="K32" s="2"/>
    </x:row>
    <x:row r="33" ht="54" customHeight="1">
      <x:c r="C33" s="2" t="str">
        <x:v>port</x:v>
      </x:c>
      <x:c r="D33" s="2" t="str">
        <x:v>Major port works</x:v>
      </x:c>
      <x:c r="E33" s="11" t="str">
        <x:v>Four cargo quays, breakwater, ten warehouses, offices and one mile of access road.</x:v>
      </x:c>
      <x:c r="F33" s="18" t="n">
        <x:f>SUM(H175:H180)</x:f>
        <x:v>45966.845203458106</x:v>
      </x:c>
      <x:c r="G33" s="38" t="n">
        <x:v>0.1</x:v>
      </x:c>
      <x:c r="H33" s="18" t="n">
        <x:f>F33*(1+G33)</x:f>
        <x:v>50563.52972380392</x:v>
      </x:c>
      <x:c r="I33" s="39" t="str">
        <x:v>4-8 years</x:v>
      </x:c>
      <x:c r="J33" s="2"/>
      <x:c r="K33" s="2"/>
    </x:row>
    <x:row r="34" ht="54" customHeight="1">
      <x:c r="C34" s="12" t="str">
        <x:v>small_castle</x:v>
      </x:c>
      <x:c r="D34" s="12" t="str">
        <x:v>Small stone castle</x:v>
      </x:c>
      <x:c r="E34" s="61" t="str">
        <x:v>320-yard curtain, four towers, gatehouse, hall, granaries and garrison facilities.</x:v>
      </x:c>
      <x:c r="F34" s="25" t="n">
        <x:f>SUM(H181:H188)</x:f>
        <x:v>40207.15763478811</x:v>
      </x:c>
      <x:c r="G34" s="64" t="n">
        <x:v>0</x:v>
      </x:c>
      <x:c r="H34" s="25" t="n">
        <x:f>F34*(1+G34)</x:f>
        <x:v>40207.15763478811</x:v>
      </x:c>
      <x:c r="I34" s="65" t="str">
        <x:v>4-7 years</x:v>
      </x:c>
      <x:c r="J34" s="2"/>
      <x:c r="K34" s="2"/>
    </x:row>
    <x:row r="35" ht="54" customHeight="1">
      <x:c r="C35" s="2" t="str">
        <x:v>major_castle</x:v>
      </x:c>
      <x:c r="D35" s="2" t="str">
        <x:v>Major castle</x:v>
      </x:c>
      <x:c r="E35" s="11" t="str">
        <x:v>800-yard curtain, ten towers, two gatehouses, stone keep and service court.</x:v>
      </x:c>
      <x:c r="F35" s="18" t="n">
        <x:f>SUM(H189:H197)</x:f>
        <x:v>113266.54843431959</x:v>
      </x:c>
      <x:c r="G35" s="38" t="n">
        <x:v>0</x:v>
      </x:c>
      <x:c r="H35" s="18" t="n">
        <x:f>F35*(1+G35)</x:f>
        <x:v>113266.54843431959</x:v>
      </x:c>
      <x:c r="I35" s="39" t="str">
        <x:v>8-15 years</x:v>
      </x:c>
      <x:c r="J35" s="2"/>
      <x:c r="K35" s="2"/>
    </x:row>
    <x:row r="36" ht="54" customHeight="1">
      <x:c r="C36" s="12" t="str">
        <x:v>fortress</x:v>
      </x:c>
      <x:c r="D36" s="12" t="str">
        <x:v>Great fortress</x:v>
      </x:c>
      <x:c r="E36" s="61" t="str">
        <x:v>2,000-yard curtain, twenty towers, three gatehouses, keep and large service courts.</x:v>
      </x:c>
      <x:c r="F36" s="25" t="n">
        <x:f>SUM(H198:H207)</x:f>
        <x:v>229317.75056104845</x:v>
      </x:c>
      <x:c r="G36" s="64" t="n">
        <x:v>0</x:v>
      </x:c>
      <x:c r="H36" s="25" t="n">
        <x:f>F36*(1+G36)</x:f>
        <x:v>229317.75056104845</x:v>
      </x:c>
      <x:c r="I36" s="65" t="str">
        <x:v>15-30 years</x:v>
      </x:c>
      <x:c r="J36" s="2"/>
      <x:c r="K36" s="2"/>
    </x:row>
    <x:row r="37" ht="26" customHeight="1"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42" customHeight="1">
      <x:c r="C38" s="5" t="str">
        <x:v>Site allowance covers ordinary uncertainty and contractor coordination above the listed components. Complete castle quotes sum already-allowed component prices without adding another overall percentage. Timelines assume continuous funding and an adequate workforce.</x:v>
      </x:c>
      <x:c r="D38" s="5"/>
      <x:c r="E38" s="5"/>
      <x:c r="F38" s="5"/>
      <x:c r="G38" s="5"/>
      <x:c r="H38" s="5"/>
      <x:c r="I38" s="5"/>
      <x:c r="J38" s="5"/>
      <x:c r="K38" s="2"/>
    </x:row>
    <x:row r="39" ht="26" customHeight="1"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6" customHeight="1"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31" customHeight="1">
      <x:c r="C41" s="13" t="str">
        <x:v>Bill of quantities and anchor-based allowances</x:v>
      </x:c>
      <x:c r="D41" s="13"/>
      <x:c r="E41" s="13"/>
      <x:c r="F41" s="13"/>
      <x:c r="G41" s="13"/>
      <x:c r="H41" s="13"/>
      <x:c r="I41" s="13"/>
      <x:c r="J41" s="13"/>
      <x:c r="K41" s="2"/>
    </x:row>
    <x:row r="42" ht="26" customHeight="1"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40" customHeight="1">
      <x:c r="C43" s="8" t="str">
        <x:v>Project code</x:v>
      </x:c>
      <x:c r="D43" s="8" t="str">
        <x:v>Component</x:v>
      </x:c>
      <x:c r="E43" s="8" t="str">
        <x:v>Quantity</x:v>
      </x:c>
      <x:c r="F43" s="8" t="str">
        <x:v>Unit</x:v>
      </x:c>
      <x:c r="G43" s="8" t="str">
        <x:v>GD / unit</x:v>
      </x:c>
      <x:c r="H43" s="8" t="str">
        <x:v>Line total GD</x:v>
      </x:c>
      <x:c r="I43" s="8" t="str">
        <x:v>What the component covers</x:v>
      </x:c>
      <x:c r="J43" s="2"/>
      <x:c r="K43" s="2"/>
    </x:row>
    <x:row r="44" ht="37" customHeight="1">
      <x:c r="C44" s="2" t="str">
        <x:v>granary</x:v>
      </x:c>
      <x:c r="D44" s="11" t="str">
        <x:v>Timber granary, 1,000-q capacity</x:v>
      </x:c>
      <x:c r="E44" s="42" t="n">
        <x:v>1</x:v>
      </x:c>
      <x:c r="F44" s="11" t="str">
        <x:v>building; ordinary site</x:v>
      </x:c>
      <x:c r="G44" s="51" t="n">
        <x:f>'Basis'!$F$104</x:f>
        <x:v>189.33623280777107</x:v>
      </x:c>
      <x:c r="H44" s="18" t="n">
        <x:f>E44*G44</x:f>
        <x:v>189.33623280777107</x:v>
      </x:c>
      <x:c r="I44" s="11" t="str">
        <x:v>Exact fiscal quote; ordinary site and labour included.</x:v>
      </x:c>
      <x:c r="J44" s="2"/>
      <x:c r="K44" s="2"/>
    </x:row>
    <x:row r="45" ht="37" customHeight="1">
      <x:c r="C45" s="2" t="str">
        <x:v>wall</x:v>
      </x:c>
      <x:c r="D45" s="11" t="str">
        <x:v>Stone curtain wall</x:v>
      </x:c>
      <x:c r="E45" s="42" t="n">
        <x:v>1</x:v>
      </x:c>
      <x:c r="F45" s="11" t="str">
        <x:v>10-yard section; ordinary site</x:v>
      </x:c>
      <x:c r="G45" s="51" t="n">
        <x:f>'Basis'!$F$105</x:f>
        <x:v>284.00434921165663</x:v>
      </x:c>
      <x:c r="H45" s="18" t="n">
        <x:f>E45*G45</x:f>
        <x:v>284.00434921165663</x:v>
      </x:c>
      <x:c r="I45" s="11" t="str">
        <x:v>Exact fiscal quote; dimensions define this book’s extrapolations, not canon.</x:v>
      </x:c>
      <x:c r="J45" s="2"/>
      <x:c r="K45" s="2"/>
    </x:row>
    <x:row r="46" ht="37" customHeight="1">
      <x:c r="C46" s="2" t="str">
        <x:v>cottage</x:v>
      </x:c>
      <x:c r="D46" s="11" t="str">
        <x:v>Dressed ordinary timber</x:v>
      </x:c>
      <x:c r="E46" s="42" t="n">
        <x:v>10</x:v>
      </x:c>
      <x:c r="F46" s="11" t="str">
        <x:v>cartload, 30 cu ft</x:v>
      </x:c>
      <x:c r="G46" s="51" t="n">
        <x:f>'Price Catalog'!$G$176</x:f>
        <x:v>0.3786724656155422</x:v>
      </x:c>
      <x:c r="H46" s="18" t="n">
        <x:f>E46*G46</x:f>
        <x:v>3.786724656155422</x:v>
      </x:c>
      <x:c r="I46" s="11" t="str">
        <x:v>Catalog price; ordinary local supply.</x:v>
      </x:c>
      <x:c r="J46" s="2"/>
      <x:c r="K46" s="2"/>
    </x:row>
    <x:row r="47" ht="37" customHeight="1">
      <x:c r="C47" s="2" t="str">
        <x:v>cottage</x:v>
      </x:c>
      <x:c r="D47" s="11" t="str">
        <x:v>Building rubble stone</x:v>
      </x:c>
      <x:c r="E47" s="42" t="n">
        <x:v>5</x:v>
      </x:c>
      <x:c r="F47" s="11" t="str">
        <x:v>long ton</x:v>
      </x:c>
      <x:c r="G47" s="51" t="n">
        <x:f>'Price Catalog'!$G$189</x:f>
        <x:v>0.2272034793693253</x:v>
      </x:c>
      <x:c r="H47" s="18" t="n">
        <x:f>E47*G47</x:f>
        <x:v>1.1360173968466265</x:v>
      </x:c>
      <x:c r="I47" s="11" t="str">
        <x:v>Catalog price; ordinary local supply.</x:v>
      </x:c>
      <x:c r="J47" s="2"/>
      <x:c r="K47" s="2"/>
    </x:row>
    <x:row r="48" ht="37" customHeight="1">
      <x:c r="C48" s="2" t="str">
        <x:v>cottage</x:v>
      </x:c>
      <x:c r="D48" s="11" t="str">
        <x:v>Wood roof shingles</x:v>
      </x:c>
      <x:c r="E48" s="42" t="n">
        <x:v>8</x:v>
      </x:c>
      <x:c r="F48" s="11" t="str">
        <x:v>100 pieces</x:v>
      </x:c>
      <x:c r="G48" s="51" t="n">
        <x:f>'Price Catalog'!$G$188</x:f>
        <x:v>0.05680086984233133</x:v>
      </x:c>
      <x:c r="H48" s="18" t="n">
        <x:f>E48*G48</x:f>
        <x:v>0.4544069587386506</x:v>
      </x:c>
      <x:c r="I48" s="11" t="str">
        <x:v>Catalog price; ordinary local supply.</x:v>
      </x:c>
      <x:c r="J48" s="2"/>
      <x:c r="K48" s="2"/>
    </x:row>
    <x:row r="49" ht="37" customHeight="1">
      <x:c r="C49" s="2" t="str">
        <x:v>cottage</x:v>
      </x:c>
      <x:c r="D49" s="11" t="str">
        <x:v>Worked iron stock</x:v>
      </x:c>
      <x:c r="E49" s="42" t="n">
        <x:v>3</x:v>
      </x:c>
      <x:c r="F49" s="11" t="str">
        <x:v>stone (14 lb)</x:v>
      </x:c>
      <x:c r="G49" s="51" t="n">
        <x:f>'Price Catalog'!$G$203</x:f>
        <x:v>0.09016011086084337</x:v>
      </x:c>
      <x:c r="H49" s="18" t="n">
        <x:f>E49*G49</x:f>
        <x:v>0.2704803325825301</x:v>
      </x:c>
      <x:c r="I49" s="11" t="str">
        <x:v>Catalog price; ordinary local supply.</x:v>
      </x:c>
      <x:c r="J49" s="2"/>
      <x:c r="K49" s="2"/>
    </x:row>
    <x:row r="50" ht="37" customHeight="1">
      <x:c r="C50" s="2" t="str">
        <x:v>cottage</x:v>
      </x:c>
      <x:c r="D50" s="11" t="str">
        <x:v>Carpenter</x:v>
      </x:c>
      <x:c r="E50" s="42" t="n">
        <x:v>40</x:v>
      </x:c>
      <x:c r="F50" s="11" t="str">
        <x:v>worker-day</x:v>
      </x:c>
      <x:c r="G50" s="51" t="n">
        <x:f>'Wages and Rations'!$H$20</x:f>
        <x:v>0.01893362328077711</x:v>
      </x:c>
      <x:c r="H50" s="18" t="n">
        <x:f>E50*G50</x:f>
        <x:v>0.7573449312310844</x:v>
      </x:c>
      <x:c r="I50" s="11" t="str">
        <x:v>Additional paid workdays, cash only.</x:v>
      </x:c>
      <x:c r="J50" s="2"/>
      <x:c r="K50" s="2"/>
    </x:row>
    <x:row r="51" ht="37" customHeight="1">
      <x:c r="C51" s="2" t="str">
        <x:v>cottage</x:v>
      </x:c>
      <x:c r="D51" s="11" t="str">
        <x:v>Mason</x:v>
      </x:c>
      <x:c r="E51" s="42" t="n">
        <x:v>15</x:v>
      </x:c>
      <x:c r="F51" s="11" t="str">
        <x:v>worker-day</x:v>
      </x:c>
      <x:c r="G51" s="51" t="n">
        <x:f>'Wages and Rations'!$H$21</x:f>
        <x:v>0.01893362328077711</x:v>
      </x:c>
      <x:c r="H51" s="18" t="n">
        <x:f>E51*G51</x:f>
        <x:v>0.2840043492116566</x:v>
      </x:c>
      <x:c r="I51" s="11" t="str">
        <x:v>Additional paid workdays, cash only.</x:v>
      </x:c>
      <x:c r="J51" s="2"/>
      <x:c r="K51" s="2"/>
    </x:row>
    <x:row r="52" ht="37" customHeight="1">
      <x:c r="C52" s="2" t="str">
        <x:v>cottage</x:v>
      </x:c>
      <x:c r="D52" s="11" t="str">
        <x:v>Unskilled day labourer</x:v>
      </x:c>
      <x:c r="E52" s="42" t="n">
        <x:v>100</x:v>
      </x:c>
      <x:c r="F52" s="11" t="str">
        <x:v>worker-day</x:v>
      </x:c>
      <x:c r="G52" s="51" t="n">
        <x:f>'Wages and Rations'!$H$8</x:f>
        <x:v>0.0019320023755895006</x:v>
      </x:c>
      <x:c r="H52" s="18" t="n">
        <x:f>E52*G52</x:f>
        <x:v>0.19320023755895005</x:v>
      </x:c>
      <x:c r="I52" s="11" t="str">
        <x:v>Additional paid workdays, cash only.</x:v>
      </x:c>
      <x:c r="J52" s="2"/>
      <x:c r="K52" s="2"/>
    </x:row>
    <x:row r="53" ht="37" customHeight="1">
      <x:c r="C53" s="2" t="str">
        <x:v>townhouse</x:v>
      </x:c>
      <x:c r="D53" s="11" t="str">
        <x:v>Dressed ordinary timber</x:v>
      </x:c>
      <x:c r="E53" s="42" t="n">
        <x:v>60</x:v>
      </x:c>
      <x:c r="F53" s="11" t="str">
        <x:v>cartload, 30 cu ft</x:v>
      </x:c>
      <x:c r="G53" s="51" t="n">
        <x:f>'Price Catalog'!$G$176</x:f>
        <x:v>0.3786724656155422</x:v>
      </x:c>
      <x:c r="H53" s="18" t="n">
        <x:f>E53*G53</x:f>
        <x:v>22.72034793693253</x:v>
      </x:c>
      <x:c r="I53" s="11" t="str">
        <x:v>Catalog price; ordinary local supply.</x:v>
      </x:c>
      <x:c r="J53" s="2"/>
      <x:c r="K53" s="2"/>
    </x:row>
    <x:row r="54" ht="37" customHeight="1">
      <x:c r="C54" s="2" t="str">
        <x:v>townhouse</x:v>
      </x:c>
      <x:c r="D54" s="11" t="str">
        <x:v>Building rubble stone</x:v>
      </x:c>
      <x:c r="E54" s="42" t="n">
        <x:v>70</x:v>
      </x:c>
      <x:c r="F54" s="11" t="str">
        <x:v>long ton</x:v>
      </x:c>
      <x:c r="G54" s="51" t="n">
        <x:f>'Price Catalog'!$G$189</x:f>
        <x:v>0.2272034793693253</x:v>
      </x:c>
      <x:c r="H54" s="18" t="n">
        <x:f>E54*G54</x:f>
        <x:v>15.904243555852771</x:v>
      </x:c>
      <x:c r="I54" s="11" t="str">
        <x:v>Catalog price; ordinary local supply.</x:v>
      </x:c>
      <x:c r="J54" s="2"/>
      <x:c r="K54" s="2"/>
    </x:row>
    <x:row r="55" ht="37" customHeight="1">
      <x:c r="C55" s="2" t="str">
        <x:v>townhouse</x:v>
      </x:c>
      <x:c r="D55" s="11" t="str">
        <x:v>Burnt lime</x:v>
      </x:c>
      <x:c r="E55" s="42" t="n">
        <x:v>7</x:v>
      </x:c>
      <x:c r="F55" s="11" t="str">
        <x:v>long ton</x:v>
      </x:c>
      <x:c r="G55" s="51" t="n">
        <x:f>'Price Catalog'!$G$193</x:f>
        <x:v>0.9088139174773012</x:v>
      </x:c>
      <x:c r="H55" s="18" t="n">
        <x:f>E55*G55</x:f>
        <x:v>6.361697422341108</x:v>
      </x:c>
      <x:c r="I55" s="11" t="str">
        <x:v>Catalog price; ordinary local supply.</x:v>
      </x:c>
      <x:c r="J55" s="2"/>
      <x:c r="K55" s="2"/>
    </x:row>
    <x:row r="56" ht="37" customHeight="1">
      <x:c r="C56" s="2" t="str">
        <x:v>townhouse</x:v>
      </x:c>
      <x:c r="D56" s="11" t="str">
        <x:v>Roofing slate</x:v>
      </x:c>
      <x:c r="E56" s="42" t="n">
        <x:v>8</x:v>
      </x:c>
      <x:c r="F56" s="11" t="str">
        <x:v>100 sq ft coverage</x:v>
      </x:c>
      <x:c r="G56" s="51" t="n">
        <x:f>'Price Catalog'!$G$197</x:f>
        <x:v>0.4544069587386506</x:v>
      </x:c>
      <x:c r="H56" s="18" t="n">
        <x:f>E56*G56</x:f>
        <x:v>3.635255669909205</x:v>
      </x:c>
      <x:c r="I56" s="11" t="str">
        <x:v>Catalog price; ordinary local supply.</x:v>
      </x:c>
      <x:c r="J56" s="2"/>
      <x:c r="K56" s="2"/>
    </x:row>
    <x:row r="57" ht="37" customHeight="1">
      <x:c r="C57" s="2" t="str">
        <x:v>townhouse</x:v>
      </x:c>
      <x:c r="D57" s="11" t="str">
        <x:v>Small clear glass pane</x:v>
      </x:c>
      <x:c r="E57" s="42" t="n">
        <x:v>30</x:v>
      </x:c>
      <x:c r="F57" s="11" t="str">
        <x:v>1 sq ft</x:v>
      </x:c>
      <x:c r="G57" s="51" t="n">
        <x:f>'Price Catalog'!$G$199</x:f>
        <x:v>0.09466811640388555</x:v>
      </x:c>
      <x:c r="H57" s="18" t="n">
        <x:f>E57*G57</x:f>
        <x:v>2.8400434921165663</x:v>
      </x:c>
      <x:c r="I57" s="11" t="str">
        <x:v>Catalog price; ordinary local supply.</x:v>
      </x:c>
      <x:c r="J57" s="2"/>
      <x:c r="K57" s="2"/>
    </x:row>
    <x:row r="58" ht="37" customHeight="1">
      <x:c r="C58" s="2" t="str">
        <x:v>townhouse</x:v>
      </x:c>
      <x:c r="D58" s="11" t="str">
        <x:v>Worked iron stock</x:v>
      </x:c>
      <x:c r="E58" s="42" t="n">
        <x:v>30</x:v>
      </x:c>
      <x:c r="F58" s="11" t="str">
        <x:v>stone (14 lb)</x:v>
      </x:c>
      <x:c r="G58" s="51" t="n">
        <x:f>'Price Catalog'!$G$203</x:f>
        <x:v>0.09016011086084337</x:v>
      </x:c>
      <x:c r="H58" s="18" t="n">
        <x:f>E58*G58</x:f>
        <x:v>2.704803325825301</x:v>
      </x:c>
      <x:c r="I58" s="11" t="str">
        <x:v>Catalog price; ordinary local supply.</x:v>
      </x:c>
      <x:c r="J58" s="2"/>
      <x:c r="K58" s="2"/>
    </x:row>
    <x:row r="59" ht="37" customHeight="1">
      <x:c r="C59" s="2" t="str">
        <x:v>townhouse</x:v>
      </x:c>
      <x:c r="D59" s="11" t="str">
        <x:v>Carpenter</x:v>
      </x:c>
      <x:c r="E59" s="42" t="n">
        <x:v>400</x:v>
      </x:c>
      <x:c r="F59" s="11" t="str">
        <x:v>worker-day</x:v>
      </x:c>
      <x:c r="G59" s="51" t="n">
        <x:f>'Wages and Rations'!$H$20</x:f>
        <x:v>0.01893362328077711</x:v>
      </x:c>
      <x:c r="H59" s="18" t="n">
        <x:f>E59*G59</x:f>
        <x:v>7.573449312310844</x:v>
      </x:c>
      <x:c r="I59" s="11" t="str">
        <x:v>Additional paid workdays, cash only.</x:v>
      </x:c>
      <x:c r="J59" s="2"/>
      <x:c r="K59" s="2"/>
    </x:row>
    <x:row r="60" ht="37" customHeight="1">
      <x:c r="C60" s="2" t="str">
        <x:v>townhouse</x:v>
      </x:c>
      <x:c r="D60" s="11" t="str">
        <x:v>Mason</x:v>
      </x:c>
      <x:c r="E60" s="42" t="n">
        <x:v>500</x:v>
      </x:c>
      <x:c r="F60" s="11" t="str">
        <x:v>worker-day</x:v>
      </x:c>
      <x:c r="G60" s="51" t="n">
        <x:f>'Wages and Rations'!$H$21</x:f>
        <x:v>0.01893362328077711</x:v>
      </x:c>
      <x:c r="H60" s="18" t="n">
        <x:f>E60*G60</x:f>
        <x:v>9.466811640388554</x:v>
      </x:c>
      <x:c r="I60" s="11" t="str">
        <x:v>Additional paid workdays, cash only.</x:v>
      </x:c>
      <x:c r="J60" s="2"/>
      <x:c r="K60" s="2"/>
    </x:row>
    <x:row r="61" ht="37" customHeight="1">
      <x:c r="C61" s="2" t="str">
        <x:v>townhouse</x:v>
      </x:c>
      <x:c r="D61" s="11" t="str">
        <x:v>Unskilled day labourer</x:v>
      </x:c>
      <x:c r="E61" s="42" t="n">
        <x:v>1500</x:v>
      </x:c>
      <x:c r="F61" s="11" t="str">
        <x:v>worker-day</x:v>
      </x:c>
      <x:c r="G61" s="51" t="n">
        <x:f>'Wages and Rations'!$H$8</x:f>
        <x:v>0.0019320023755895006</x:v>
      </x:c>
      <x:c r="H61" s="18" t="n">
        <x:f>E61*G61</x:f>
        <x:v>2.898003563384251</x:v>
      </x:c>
      <x:c r="I61" s="11" t="str">
        <x:v>Additional paid workdays, cash only.</x:v>
      </x:c>
      <x:c r="J61" s="2"/>
      <x:c r="K61" s="2"/>
    </x:row>
    <x:row r="62" ht="37" customHeight="1">
      <x:c r="C62" s="2" t="str">
        <x:v>hall</x:v>
      </x:c>
      <x:c r="D62" s="11" t="str">
        <x:v>Timber granary, 1,000-q capacity</x:v>
      </x:c>
      <x:c r="E62" s="42" t="n">
        <x:v>3</x:v>
      </x:c>
      <x:c r="F62" s="11" t="str">
        <x:v>building; ordinary site</x:v>
      </x:c>
      <x:c r="G62" s="51" t="n">
        <x:f>'Basis'!$F$104</x:f>
        <x:v>189.33623280777107</x:v>
      </x:c>
      <x:c r="H62" s="18" t="n">
        <x:f>E62*G62</x:f>
        <x:v>568.0086984233133</x:v>
      </x:c>
      <x:c r="I62" s="11" t="str">
        <x:v>Three granary-price equivalents for a finished hall shell and structural complexity.</x:v>
      </x:c>
      <x:c r="J62" s="2"/>
      <x:c r="K62" s="2"/>
    </x:row>
    <x:row r="63" ht="37" customHeight="1">
      <x:c r="C63" s="2" t="str">
        <x:v>hall</x:v>
      </x:c>
      <x:c r="D63" s="11" t="str">
        <x:v>Worked iron stock</x:v>
      </x:c>
      <x:c r="E63" s="42" t="n">
        <x:v>150</x:v>
      </x:c>
      <x:c r="F63" s="11" t="str">
        <x:v>stone (14 lb)</x:v>
      </x:c>
      <x:c r="G63" s="51" t="n">
        <x:f>'Price Catalog'!$G$203</x:f>
        <x:v>0.09016011086084337</x:v>
      </x:c>
      <x:c r="H63" s="18" t="n">
        <x:f>E63*G63</x:f>
        <x:v>13.524016629126505</x:v>
      </x:c>
      <x:c r="I63" s="11" t="str">
        <x:v>Catalog price; ordinary local supply.</x:v>
      </x:c>
      <x:c r="J63" s="2"/>
      <x:c r="K63" s="2"/>
    </x:row>
    <x:row r="64" ht="37" customHeight="1">
      <x:c r="C64" s="2" t="str">
        <x:v>hall</x:v>
      </x:c>
      <x:c r="D64" s="11" t="str">
        <x:v>Small clear glass pane</x:v>
      </x:c>
      <x:c r="E64" s="42" t="n">
        <x:v>100</x:v>
      </x:c>
      <x:c r="F64" s="11" t="str">
        <x:v>1 sq ft</x:v>
      </x:c>
      <x:c r="G64" s="51" t="n">
        <x:f>'Price Catalog'!$G$199</x:f>
        <x:v>0.09466811640388555</x:v>
      </x:c>
      <x:c r="H64" s="18" t="n">
        <x:f>E64*G64</x:f>
        <x:v>9.466811640388554</x:v>
      </x:c>
      <x:c r="I64" s="11" t="str">
        <x:v>Catalog price; ordinary local supply.</x:v>
      </x:c>
      <x:c r="J64" s="2"/>
      <x:c r="K64" s="2"/>
    </x:row>
    <x:row r="65" ht="37" customHeight="1">
      <x:c r="C65" s="2" t="str">
        <x:v>hall</x:v>
      </x:c>
      <x:c r="D65" s="11" t="str">
        <x:v>Carpenter</x:v>
      </x:c>
      <x:c r="E65" s="42" t="n">
        <x:v>400</x:v>
      </x:c>
      <x:c r="F65" s="11" t="str">
        <x:v>worker-day</x:v>
      </x:c>
      <x:c r="G65" s="51" t="n">
        <x:f>'Wages and Rations'!$H$20</x:f>
        <x:v>0.01893362328077711</x:v>
      </x:c>
      <x:c r="H65" s="18" t="n">
        <x:f>E65*G65</x:f>
        <x:v>7.573449312310844</x:v>
      </x:c>
      <x:c r="I65" s="11" t="str">
        <x:v>Interior finish beyond shell allowance.</x:v>
      </x:c>
      <x:c r="J65" s="2"/>
      <x:c r="K65" s="2"/>
    </x:row>
    <x:row r="66" ht="37" customHeight="1">
      <x:c r="C66" s="2" t="str">
        <x:v>hall</x:v>
      </x:c>
      <x:c r="D66" s="11" t="str">
        <x:v>Mason</x:v>
      </x:c>
      <x:c r="E66" s="42" t="n">
        <x:v>300</x:v>
      </x:c>
      <x:c r="F66" s="11" t="str">
        <x:v>worker-day</x:v>
      </x:c>
      <x:c r="G66" s="51" t="n">
        <x:f>'Wages and Rations'!$H$21</x:f>
        <x:v>0.01893362328077711</x:v>
      </x:c>
      <x:c r="H66" s="18" t="n">
        <x:f>E66*G66</x:f>
        <x:v>5.680086984233133</x:v>
      </x:c>
      <x:c r="I66" s="11" t="str">
        <x:v>Hearth, flues and internal stonework.</x:v>
      </x:c>
      <x:c r="J66" s="2"/>
      <x:c r="K66" s="2"/>
    </x:row>
    <x:row r="67" ht="37" customHeight="1">
      <x:c r="C67" s="2" t="str">
        <x:v>woodkeep</x:v>
      </x:c>
      <x:c r="D67" s="11" t="str">
        <x:v>Timber granary, 1,000-q capacity</x:v>
      </x:c>
      <x:c r="E67" s="42" t="n">
        <x:v>8</x:v>
      </x:c>
      <x:c r="F67" s="11" t="str">
        <x:v>building; ordinary site</x:v>
      </x:c>
      <x:c r="G67" s="51" t="n">
        <x:f>'Basis'!$F$104</x:f>
        <x:v>189.33623280777107</x:v>
      </x:c>
      <x:c r="H67" s="18" t="n">
        <x:f>E67*G67</x:f>
        <x:v>1514.6898624621685</x:v>
      </x:c>
      <x:c r="I67" s="11" t="str">
        <x:v>Eight granary-price equivalents for defensive timber structure.</x:v>
      </x:c>
      <x:c r="J67" s="2"/>
      <x:c r="K67" s="2"/>
    </x:row>
    <x:row r="68" ht="37" customHeight="1">
      <x:c r="C68" s="2" t="str">
        <x:v>woodkeep</x:v>
      </x:c>
      <x:c r="D68" s="11" t="str">
        <x:v>Stone curtain wall</x:v>
      </x:c>
      <x:c r="E68" s="42" t="n">
        <x:v>2</x:v>
      </x:c>
      <x:c r="F68" s="11" t="str">
        <x:v>10-yard section; ordinary site</x:v>
      </x:c>
      <x:c r="G68" s="51" t="n">
        <x:f>'Basis'!$F$105</x:f>
        <x:v>284.00434921165663</x:v>
      </x:c>
      <x:c r="H68" s="18" t="n">
        <x:f>E68*G68</x:f>
        <x:v>568.0086984233133</x:v>
      </x:c>
      <x:c r="I68" s="11" t="str">
        <x:v>Masonry-price equivalents for heavy foundations and hearths.</x:v>
      </x:c>
      <x:c r="J68" s="2"/>
      <x:c r="K68" s="2"/>
    </x:row>
    <x:row r="69" ht="37" customHeight="1">
      <x:c r="C69" s="2" t="str">
        <x:v>woodkeep</x:v>
      </x:c>
      <x:c r="D69" s="11" t="str">
        <x:v>Worked iron stock</x:v>
      </x:c>
      <x:c r="E69" s="42" t="n">
        <x:v>400</x:v>
      </x:c>
      <x:c r="F69" s="11" t="str">
        <x:v>stone (14 lb)</x:v>
      </x:c>
      <x:c r="G69" s="51" t="n">
        <x:f>'Price Catalog'!$G$203</x:f>
        <x:v>0.09016011086084337</x:v>
      </x:c>
      <x:c r="H69" s="18" t="n">
        <x:f>E69*G69</x:f>
        <x:v>36.06404434433735</x:v>
      </x:c>
      <x:c r="I69" s="11" t="str">
        <x:v>Catalog price; ordinary local supply.</x:v>
      </x:c>
      <x:c r="J69" s="2"/>
      <x:c r="K69" s="2"/>
    </x:row>
    <x:row r="70" ht="37" customHeight="1">
      <x:c r="C70" s="2" t="str">
        <x:v>woodkeep</x:v>
      </x:c>
      <x:c r="D70" s="11" t="str">
        <x:v>Master builder</x:v>
      </x:c>
      <x:c r="E70" s="42" t="n">
        <x:v>300</x:v>
      </x:c>
      <x:c r="F70" s="11" t="str">
        <x:v>worker-day</x:v>
      </x:c>
      <x:c r="G70" s="51" t="n">
        <x:f>'Wages and Rations'!$H$32</x:f>
        <x:v>0.04165397121770964</x:v>
      </x:c>
      <x:c r="H70" s="18" t="n">
        <x:f>E70*G70</x:f>
        <x:v>12.496191365312892</x:v>
      </x:c>
      <x:c r="I70" s="11" t="str">
        <x:v>Dedicated coordination beyond component quotes.</x:v>
      </x:c>
      <x:c r="J70" s="2"/>
      <x:c r="K70" s="2"/>
    </x:row>
    <x:row r="71" ht="37" customHeight="1">
      <x:c r="C71" s="2" t="str">
        <x:v>tower</x:v>
      </x:c>
      <x:c r="D71" s="11" t="str">
        <x:v>Stone curtain wall</x:v>
      </x:c>
      <x:c r="E71" s="42" t="n">
        <x:v>12</x:v>
      </x:c>
      <x:c r="F71" s="11" t="str">
        <x:v>10-yard section; ordinary site</x:v>
      </x:c>
      <x:c r="G71" s="51" t="n">
        <x:f>'Basis'!$F$105</x:f>
        <x:v>284.00434921165663</x:v>
      </x:c>
      <x:c r="H71" s="18" t="n">
        <x:f>E71*G71</x:f>
        <x:v>3408.0521905398796</x:v>
      </x:c>
      <x:c r="I71" s="11" t="str">
        <x:v>Twelve wall-price equivalents for tower shell and foundation.</x:v>
      </x:c>
      <x:c r="J71" s="2"/>
      <x:c r="K71" s="2"/>
    </x:row>
    <x:row r="72" ht="37" customHeight="1">
      <x:c r="C72" s="2" t="str">
        <x:v>tower</x:v>
      </x:c>
      <x:c r="D72" s="11" t="str">
        <x:v>Timber granary, 1,000-q capacity</x:v>
      </x:c>
      <x:c r="E72" s="42" t="n">
        <x:v>2</x:v>
      </x:c>
      <x:c r="F72" s="11" t="str">
        <x:v>building; ordinary site</x:v>
      </x:c>
      <x:c r="G72" s="51" t="n">
        <x:f>'Basis'!$F$104</x:f>
        <x:v>189.33623280777107</x:v>
      </x:c>
      <x:c r="H72" s="18" t="n">
        <x:f>E72*G72</x:f>
        <x:v>378.67246561554214</x:v>
      </x:c>
      <x:c r="I72" s="11" t="str">
        <x:v>Timber floors and roof at two granary-price equivalents.</x:v>
      </x:c>
      <x:c r="J72" s="2"/>
      <x:c r="K72" s="2"/>
    </x:row>
    <x:row r="73" ht="37" customHeight="1">
      <x:c r="C73" s="2" t="str">
        <x:v>tower</x:v>
      </x:c>
      <x:c r="D73" s="11" t="str">
        <x:v>Worked iron stock</x:v>
      </x:c>
      <x:c r="E73" s="42" t="n">
        <x:v>200</x:v>
      </x:c>
      <x:c r="F73" s="11" t="str">
        <x:v>stone (14 lb)</x:v>
      </x:c>
      <x:c r="G73" s="51" t="n">
        <x:f>'Price Catalog'!$G$203</x:f>
        <x:v>0.09016011086084337</x:v>
      </x:c>
      <x:c r="H73" s="18" t="n">
        <x:f>E73*G73</x:f>
        <x:v>18.032022172168674</x:v>
      </x:c>
      <x:c r="I73" s="11" t="str">
        <x:v>Catalog price; ordinary local supply.</x:v>
      </x:c>
      <x:c r="J73" s="2"/>
      <x:c r="K73" s="2"/>
    </x:row>
    <x:row r="74" ht="37" customHeight="1">
      <x:c r="C74" s="2" t="str">
        <x:v>tower</x:v>
      </x:c>
      <x:c r="D74" s="11" t="str">
        <x:v>Master builder</x:v>
      </x:c>
      <x:c r="E74" s="42" t="n">
        <x:v>250</x:v>
      </x:c>
      <x:c r="F74" s="11" t="str">
        <x:v>worker-day</x:v>
      </x:c>
      <x:c r="G74" s="51" t="n">
        <x:f>'Wages and Rations'!$H$32</x:f>
        <x:v>0.04165397121770964</x:v>
      </x:c>
      <x:c r="H74" s="18" t="n">
        <x:f>E74*G74</x:f>
        <x:v>10.41349280442741</x:v>
      </x:c>
      <x:c r="I74" s="11" t="str">
        <x:v>Tower coordination and setting out.</x:v>
      </x:c>
      <x:c r="J74" s="2"/>
      <x:c r="K74" s="2"/>
    </x:row>
    <x:row r="75" ht="37" customHeight="1">
      <x:c r="C75" s="2" t="str">
        <x:v>gatehouse</x:v>
      </x:c>
      <x:c r="D75" s="11" t="str">
        <x:v>Stone defensive tower</x:v>
      </x:c>
      <x:c r="E75" s="42" t="n">
        <x:v>2</x:v>
      </x:c>
      <x:c r="F75" s="11" t="str">
        <x:v>completed unit</x:v>
      </x:c>
      <x:c r="G75" s="51" t="n">
        <x:f>'Building Works'!$H$13</x:f>
        <x:v>4387.445696801819</x:v>
      </x:c>
      <x:c r="H75" s="18" t="n">
        <x:f>E75*G75</x:f>
        <x:v>8774.891393603639</x:v>
      </x:c>
      <x:c r="I75" s="11" t="str">
        <x:v>Completed component quote, including its stated allowance.</x:v>
      </x:c>
      <x:c r="J75" s="2"/>
      <x:c r="K75" s="2"/>
    </x:row>
    <x:row r="76" ht="37" customHeight="1">
      <x:c r="C76" s="2" t="str">
        <x:v>gatehouse</x:v>
      </x:c>
      <x:c r="D76" s="11" t="str">
        <x:v>Stone curtain wall</x:v>
      </x:c>
      <x:c r="E76" s="42" t="n">
        <x:v>6</x:v>
      </x:c>
      <x:c r="F76" s="11" t="str">
        <x:v>10-yard section; ordinary site</x:v>
      </x:c>
      <x:c r="G76" s="51" t="n">
        <x:f>'Basis'!$F$105</x:f>
        <x:v>284.00434921165663</x:v>
      </x:c>
      <x:c r="H76" s="18" t="n">
        <x:f>E76*G76</x:f>
        <x:v>1704.0260952699398</x:v>
      </x:c>
      <x:c r="I76" s="11" t="str">
        <x:v>Connecting passage and frontage masonry.</x:v>
      </x:c>
      <x:c r="J76" s="2"/>
      <x:c r="K76" s="2"/>
    </x:row>
    <x:row r="77" ht="37" customHeight="1">
      <x:c r="C77" s="2" t="str">
        <x:v>gatehouse</x:v>
      </x:c>
      <x:c r="D77" s="11" t="str">
        <x:v>Worked iron stock</x:v>
      </x:c>
      <x:c r="E77" s="42" t="n">
        <x:v>700</x:v>
      </x:c>
      <x:c r="F77" s="11" t="str">
        <x:v>stone (14 lb)</x:v>
      </x:c>
      <x:c r="G77" s="51" t="n">
        <x:f>'Price Catalog'!$G$203</x:f>
        <x:v>0.09016011086084337</x:v>
      </x:c>
      <x:c r="H77" s="18" t="n">
        <x:f>E77*G77</x:f>
        <x:v>63.11207760259036</x:v>
      </x:c>
      <x:c r="I77" s="11" t="str">
        <x:v>Catalog price; ordinary local supply.</x:v>
      </x:c>
      <x:c r="J77" s="2"/>
      <x:c r="K77" s="2"/>
    </x:row>
    <x:row r="78" ht="37" customHeight="1">
      <x:c r="C78" s="2" t="str">
        <x:v>gatehouse</x:v>
      </x:c>
      <x:c r="D78" s="11" t="str">
        <x:v>Dressed ordinary timber</x:v>
      </x:c>
      <x:c r="E78" s="42" t="n">
        <x:v>80</x:v>
      </x:c>
      <x:c r="F78" s="11" t="str">
        <x:v>cartload, 30 cu ft</x:v>
      </x:c>
      <x:c r="G78" s="51" t="n">
        <x:f>'Price Catalog'!$G$176</x:f>
        <x:v>0.3786724656155422</x:v>
      </x:c>
      <x:c r="H78" s="18" t="n">
        <x:f>E78*G78</x:f>
        <x:v>30.293797249243376</x:v>
      </x:c>
      <x:c r="I78" s="11" t="str">
        <x:v>Catalog price; ordinary local supply.</x:v>
      </x:c>
      <x:c r="J78" s="2"/>
      <x:c r="K78" s="2"/>
    </x:row>
    <x:row r="79" ht="37" customHeight="1">
      <x:c r="C79" s="2" t="str">
        <x:v>gatehouse</x:v>
      </x:c>
      <x:c r="D79" s="11" t="str">
        <x:v>Blacksmith</x:v>
      </x:c>
      <x:c r="E79" s="42" t="n">
        <x:v>500</x:v>
      </x:c>
      <x:c r="F79" s="11" t="str">
        <x:v>worker-day</x:v>
      </x:c>
      <x:c r="G79" s="51" t="n">
        <x:f>'Wages and Rations'!$H$22</x:f>
        <x:v>0.02272034793693253</x:v>
      </x:c>
      <x:c r="H79" s="18" t="n">
        <x:f>E79*G79</x:f>
        <x:v>11.360173968466265</x:v>
      </x:c>
      <x:c r="I79" s="11" t="str">
        <x:v>Portcullis and gate mechanism finishing.</x:v>
      </x:c>
      <x:c r="J79" s="2"/>
      <x:c r="K79" s="2"/>
    </x:row>
    <x:row r="80" ht="37" customHeight="1">
      <x:c r="C80" s="2" t="str">
        <x:v>stonekeep</x:v>
      </x:c>
      <x:c r="D80" s="11" t="str">
        <x:v>Stone curtain wall</x:v>
      </x:c>
      <x:c r="E80" s="42" t="n">
        <x:v>50</x:v>
      </x:c>
      <x:c r="F80" s="11" t="str">
        <x:v>10-yard section; ordinary site</x:v>
      </x:c>
      <x:c r="G80" s="51" t="n">
        <x:f>'Basis'!$F$105</x:f>
        <x:v>284.00434921165663</x:v>
      </x:c>
      <x:c r="H80" s="18" t="n">
        <x:f>E80*G80</x:f>
        <x:v>14200.217460582831</x:v>
      </x:c>
      <x:c r="I80" s="11" t="str">
        <x:v>Fifty wall-price equivalents for thick external and internal masonry.</x:v>
      </x:c>
      <x:c r="J80" s="2"/>
      <x:c r="K80" s="2"/>
    </x:row>
    <x:row r="81" ht="37" customHeight="1">
      <x:c r="C81" s="2" t="str">
        <x:v>stonekeep</x:v>
      </x:c>
      <x:c r="D81" s="11" t="str">
        <x:v>Timber granary, 1,000-q capacity</x:v>
      </x:c>
      <x:c r="E81" s="42" t="n">
        <x:v>12</x:v>
      </x:c>
      <x:c r="F81" s="11" t="str">
        <x:v>building; ordinary site</x:v>
      </x:c>
      <x:c r="G81" s="51" t="n">
        <x:f>'Basis'!$F$104</x:f>
        <x:v>189.33623280777107</x:v>
      </x:c>
      <x:c r="H81" s="18" t="n">
        <x:f>E81*G81</x:f>
        <x:v>2272.034793693253</x:v>
      </x:c>
      <x:c r="I81" s="11" t="str">
        <x:v>Floor, roof and interior structural allowances.</x:v>
      </x:c>
      <x:c r="J81" s="2"/>
      <x:c r="K81" s="2"/>
    </x:row>
    <x:row r="82" ht="37" customHeight="1">
      <x:c r="C82" s="2" t="str">
        <x:v>stonekeep</x:v>
      </x:c>
      <x:c r="D82" s="11" t="str">
        <x:v>Worked iron stock</x:v>
      </x:c>
      <x:c r="E82" s="42" t="n">
        <x:v>800</x:v>
      </x:c>
      <x:c r="F82" s="11" t="str">
        <x:v>stone (14 lb)</x:v>
      </x:c>
      <x:c r="G82" s="51" t="n">
        <x:f>'Price Catalog'!$G$203</x:f>
        <x:v>0.09016011086084337</x:v>
      </x:c>
      <x:c r="H82" s="18" t="n">
        <x:f>E82*G82</x:f>
        <x:v>72.1280886886747</x:v>
      </x:c>
      <x:c r="I82" s="11" t="str">
        <x:v>Catalog price; ordinary local supply.</x:v>
      </x:c>
      <x:c r="J82" s="2"/>
      <x:c r="K82" s="2"/>
    </x:row>
    <x:row r="83" ht="37" customHeight="1">
      <x:c r="C83" s="2" t="str">
        <x:v>stonekeep</x:v>
      </x:c>
      <x:c r="D83" s="11" t="str">
        <x:v>Small clear glass pane</x:v>
      </x:c>
      <x:c r="E83" s="42" t="n">
        <x:v>400</x:v>
      </x:c>
      <x:c r="F83" s="11" t="str">
        <x:v>1 sq ft</x:v>
      </x:c>
      <x:c r="G83" s="51" t="n">
        <x:f>'Price Catalog'!$G$199</x:f>
        <x:v>0.09466811640388555</x:v>
      </x:c>
      <x:c r="H83" s="18" t="n">
        <x:f>E83*G83</x:f>
        <x:v>37.86724656155422</x:v>
      </x:c>
      <x:c r="I83" s="11" t="str">
        <x:v>Catalog price; ordinary local supply.</x:v>
      </x:c>
      <x:c r="J83" s="2"/>
      <x:c r="K83" s="2"/>
    </x:row>
    <x:row r="84" ht="37" customHeight="1">
      <x:c r="C84" s="2" t="str">
        <x:v>stonekeep</x:v>
      </x:c>
      <x:c r="D84" s="11" t="str">
        <x:v>Master builder</x:v>
      </x:c>
      <x:c r="E84" s="42" t="n">
        <x:v>900</x:v>
      </x:c>
      <x:c r="F84" s="11" t="str">
        <x:v>worker-day</x:v>
      </x:c>
      <x:c r="G84" s="51" t="n">
        <x:f>'Wages and Rations'!$H$32</x:f>
        <x:v>0.04165397121770964</x:v>
      </x:c>
      <x:c r="H84" s="18" t="n">
        <x:f>E84*G84</x:f>
        <x:v>37.488574095938674</x:v>
      </x:c>
      <x:c r="I84" s="11" t="str">
        <x:v>Keep-specific coordination and setting out.</x:v>
      </x:c>
      <x:c r="J84" s="2"/>
      <x:c r="K84" s="2"/>
    </x:row>
    <x:row r="85" ht="37" customHeight="1">
      <x:c r="C85" s="2" t="str">
        <x:v>palisade</x:v>
      </x:c>
      <x:c r="D85" s="11" t="str">
        <x:v>Dressed ordinary timber</x:v>
      </x:c>
      <x:c r="E85" s="42" t="n">
        <x:v>90</x:v>
      </x:c>
      <x:c r="F85" s="11" t="str">
        <x:v>cartload, 30 cu ft</x:v>
      </x:c>
      <x:c r="G85" s="51" t="n">
        <x:f>'Price Catalog'!$G$176</x:f>
        <x:v>0.3786724656155422</x:v>
      </x:c>
      <x:c r="H85" s="18" t="n">
        <x:f>E85*G85</x:f>
        <x:v>34.0805219053988</x:v>
      </x:c>
      <x:c r="I85" s="11" t="str">
        <x:v>Catalog price; ordinary local supply.</x:v>
      </x:c>
      <x:c r="J85" s="2"/>
      <x:c r="K85" s="2"/>
    </x:row>
    <x:row r="86" ht="37" customHeight="1">
      <x:c r="C86" s="2" t="str">
        <x:v>palisade</x:v>
      </x:c>
      <x:c r="D86" s="11" t="str">
        <x:v>Worked iron stock</x:v>
      </x:c>
      <x:c r="E86" s="42" t="n">
        <x:v>50</x:v>
      </x:c>
      <x:c r="F86" s="11" t="str">
        <x:v>stone (14 lb)</x:v>
      </x:c>
      <x:c r="G86" s="51" t="n">
        <x:f>'Price Catalog'!$G$203</x:f>
        <x:v>0.09016011086084337</x:v>
      </x:c>
      <x:c r="H86" s="18" t="n">
        <x:f>E86*G86</x:f>
        <x:v>4.508005543042168</x:v>
      </x:c>
      <x:c r="I86" s="11" t="str">
        <x:v>Catalog price; ordinary local supply.</x:v>
      </x:c>
      <x:c r="J86" s="2"/>
      <x:c r="K86" s="2"/>
    </x:row>
    <x:row r="87" ht="37" customHeight="1">
      <x:c r="C87" s="2" t="str">
        <x:v>palisade</x:v>
      </x:c>
      <x:c r="D87" s="11" t="str">
        <x:v>Carpenter</x:v>
      </x:c>
      <x:c r="E87" s="42" t="n">
        <x:v>350</x:v>
      </x:c>
      <x:c r="F87" s="11" t="str">
        <x:v>worker-day</x:v>
      </x:c>
      <x:c r="G87" s="51" t="n">
        <x:f>'Wages and Rations'!$H$20</x:f>
        <x:v>0.01893362328077711</x:v>
      </x:c>
      <x:c r="H87" s="18" t="n">
        <x:f>E87*G87</x:f>
        <x:v>6.626768148271989</x:v>
      </x:c>
      <x:c r="I87" s="11" t="str">
        <x:v>Additional paid workdays, cash only.</x:v>
      </x:c>
      <x:c r="J87" s="2"/>
      <x:c r="K87" s="2"/>
    </x:row>
    <x:row r="88" ht="37" customHeight="1">
      <x:c r="C88" s="2" t="str">
        <x:v>palisade</x:v>
      </x:c>
      <x:c r="D88" s="11" t="str">
        <x:v>Unskilled day labourer</x:v>
      </x:c>
      <x:c r="E88" s="42" t="n">
        <x:v>1000</x:v>
      </x:c>
      <x:c r="F88" s="11" t="str">
        <x:v>worker-day</x:v>
      </x:c>
      <x:c r="G88" s="51" t="n">
        <x:f>'Wages and Rations'!$H$8</x:f>
        <x:v>0.0019320023755895006</x:v>
      </x:c>
      <x:c r="H88" s="18" t="n">
        <x:f>E88*G88</x:f>
        <x:v>1.9320023755895006</x:v>
      </x:c>
      <x:c r="I88" s="11" t="str">
        <x:v>Additional paid workdays, cash only.</x:v>
      </x:c>
      <x:c r="J88" s="2"/>
      <x:c r="K88" s="2"/>
    </x:row>
    <x:row r="89" ht="37" customHeight="1">
      <x:c r="C89" s="2" t="str">
        <x:v>barracks</x:v>
      </x:c>
      <x:c r="D89" s="11" t="str">
        <x:v>Timber granary, 1,000-q capacity</x:v>
      </x:c>
      <x:c r="E89" s="42" t="n">
        <x:v>2</x:v>
      </x:c>
      <x:c r="F89" s="11" t="str">
        <x:v>building; ordinary site</x:v>
      </x:c>
      <x:c r="G89" s="51" t="n">
        <x:f>'Basis'!$F$104</x:f>
        <x:v>189.33623280777107</x:v>
      </x:c>
      <x:c r="H89" s="18" t="n">
        <x:f>E89*G89</x:f>
        <x:v>378.67246561554214</x:v>
      </x:c>
      <x:c r="I89" s="11" t="str">
        <x:v>Finished timber building shell allowance.</x:v>
      </x:c>
      <x:c r="J89" s="2"/>
      <x:c r="K89" s="2"/>
    </x:row>
    <x:row r="90" ht="37" customHeight="1">
      <x:c r="C90" s="2" t="str">
        <x:v>barracks</x:v>
      </x:c>
      <x:c r="D90" s="11" t="str">
        <x:v>Wooden bed frame</x:v>
      </x:c>
      <x:c r="E90" s="42" t="n">
        <x:v>100</x:v>
      </x:c>
      <x:c r="F90" s="11" t="str">
        <x:v>single</x:v>
      </x:c>
      <x:c r="G90" s="51" t="n">
        <x:f>'Price Catalog'!$G$264</x:f>
        <x:v>0.4733405820194277</x:v>
      </x:c>
      <x:c r="H90" s="18" t="n">
        <x:f>E90*G90</x:f>
        <x:v>47.33405820194277</x:v>
      </x:c>
      <x:c r="I90" s="11" t="str">
        <x:v>Catalog price; ordinary local supply.</x:v>
      </x:c>
      <x:c r="J90" s="2"/>
      <x:c r="K90" s="2"/>
    </x:row>
    <x:row r="91" ht="37" customHeight="1">
      <x:c r="C91" s="2" t="str">
        <x:v>barracks</x:v>
      </x:c>
      <x:c r="D91" s="11" t="str">
        <x:v>Straw-filled bed tick</x:v>
      </x:c>
      <x:c r="E91" s="42" t="n">
        <x:v>100</x:v>
      </x:c>
      <x:c r="F91" s="11" t="str">
        <x:v>single</x:v>
      </x:c>
      <x:c r="G91" s="51" t="n">
        <x:f>'Price Catalog'!$G$159</x:f>
        <x:v>0.04733405820194277</x:v>
      </x:c>
      <x:c r="H91" s="18" t="n">
        <x:f>E91*G91</x:f>
        <x:v>4.733405820194277</x:v>
      </x:c>
      <x:c r="I91" s="11" t="str">
        <x:v>Catalog price; ordinary local supply.</x:v>
      </x:c>
      <x:c r="J91" s="2"/>
      <x:c r="K91" s="2"/>
    </x:row>
    <x:row r="92" ht="37" customHeight="1">
      <x:c r="C92" s="2" t="str">
        <x:v>barracks</x:v>
      </x:c>
      <x:c r="D92" s="11" t="str">
        <x:v>Wool blanket</x:v>
      </x:c>
      <x:c r="E92" s="42" t="n">
        <x:v>100</x:v>
      </x:c>
      <x:c r="F92" s="11" t="str">
        <x:v>each, 6 x 5 ft</x:v>
      </x:c>
      <x:c r="G92" s="51" t="n">
        <x:f>'Price Catalog'!$G$157</x:f>
        <x:v>0.085201304763497</x:v>
      </x:c>
      <x:c r="H92" s="18" t="n">
        <x:f>E92*G92</x:f>
        <x:v>8.5201304763497</x:v>
      </x:c>
      <x:c r="I92" s="11" t="str">
        <x:v>Catalog price; ordinary local supply.</x:v>
      </x:c>
      <x:c r="J92" s="2"/>
      <x:c r="K92" s="2"/>
    </x:row>
    <x:row r="93" ht="37" customHeight="1">
      <x:c r="C93" s="2" t="str">
        <x:v>barracks</x:v>
      </x:c>
      <x:c r="D93" s="11" t="str">
        <x:v>Worked iron stock</x:v>
      </x:c>
      <x:c r="E93" s="42" t="n">
        <x:v>100</x:v>
      </x:c>
      <x:c r="F93" s="11" t="str">
        <x:v>stone (14 lb)</x:v>
      </x:c>
      <x:c r="G93" s="51" t="n">
        <x:f>'Price Catalog'!$G$203</x:f>
        <x:v>0.09016011086084337</x:v>
      </x:c>
      <x:c r="H93" s="18" t="n">
        <x:f>E93*G93</x:f>
        <x:v>9.016011086084337</x:v>
      </x:c>
      <x:c r="I93" s="11" t="str">
        <x:v>Catalog price; ordinary local supply.</x:v>
      </x:c>
      <x:c r="J93" s="2"/>
      <x:c r="K93" s="2"/>
    </x:row>
    <x:row r="94" ht="37" customHeight="1">
      <x:c r="C94" s="2" t="str">
        <x:v>barracks</x:v>
      </x:c>
      <x:c r="D94" s="11" t="str">
        <x:v>Carpenter</x:v>
      </x:c>
      <x:c r="E94" s="42" t="n">
        <x:v>200</x:v>
      </x:c>
      <x:c r="F94" s="11" t="str">
        <x:v>worker-day</x:v>
      </x:c>
      <x:c r="G94" s="51" t="n">
        <x:f>'Wages and Rations'!$H$20</x:f>
        <x:v>0.01893362328077711</x:v>
      </x:c>
      <x:c r="H94" s="18" t="n">
        <x:f>E94*G94</x:f>
        <x:v>3.786724656155422</x:v>
      </x:c>
      <x:c r="I94" s="11" t="str">
        <x:v>Bunk and interior fitting labour.</x:v>
      </x:c>
      <x:c r="J94" s="2"/>
      <x:c r="K94" s="2"/>
    </x:row>
    <x:row r="95" ht="37" customHeight="1">
      <x:c r="C95" s="2" t="str">
        <x:v>stable</x:v>
      </x:c>
      <x:c r="D95" s="11" t="str">
        <x:v>Timber granary, 1,000-q capacity</x:v>
      </x:c>
      <x:c r="E95" s="42" t="n">
        <x:v>1.5</x:v>
      </x:c>
      <x:c r="F95" s="11" t="str">
        <x:v>building; ordinary site</x:v>
      </x:c>
      <x:c r="G95" s="51" t="n">
        <x:f>'Basis'!$F$104</x:f>
        <x:v>189.33623280777107</x:v>
      </x:c>
      <x:c r="H95" s="18" t="n">
        <x:f>E95*G95</x:f>
        <x:v>284.00434921165663</x:v>
      </x:c>
      <x:c r="I95" s="11" t="str">
        <x:v>Timber shell and loft allowance.</x:v>
      </x:c>
      <x:c r="J95" s="2"/>
      <x:c r="K95" s="2"/>
    </x:row>
    <x:row r="96" ht="37" customHeight="1">
      <x:c r="C96" s="2" t="str">
        <x:v>stable</x:v>
      </x:c>
      <x:c r="D96" s="11" t="str">
        <x:v>Dressed ordinary timber</x:v>
      </x:c>
      <x:c r="E96" s="42" t="n">
        <x:v>40</x:v>
      </x:c>
      <x:c r="F96" s="11" t="str">
        <x:v>cartload, 30 cu ft</x:v>
      </x:c>
      <x:c r="G96" s="51" t="n">
        <x:f>'Price Catalog'!$G$176</x:f>
        <x:v>0.3786724656155422</x:v>
      </x:c>
      <x:c r="H96" s="18" t="n">
        <x:f>E96*G96</x:f>
        <x:v>15.146898624621688</x:v>
      </x:c>
      <x:c r="I96" s="11" t="str">
        <x:v>Catalog price; ordinary local supply.</x:v>
      </x:c>
      <x:c r="J96" s="2"/>
      <x:c r="K96" s="2"/>
    </x:row>
    <x:row r="97" ht="37" customHeight="1">
      <x:c r="C97" s="2" t="str">
        <x:v>stable</x:v>
      </x:c>
      <x:c r="D97" s="11" t="str">
        <x:v>Worked iron stock</x:v>
      </x:c>
      <x:c r="E97" s="42" t="n">
        <x:v>100</x:v>
      </x:c>
      <x:c r="F97" s="11" t="str">
        <x:v>stone (14 lb)</x:v>
      </x:c>
      <x:c r="G97" s="51" t="n">
        <x:f>'Price Catalog'!$G$203</x:f>
        <x:v>0.09016011086084337</x:v>
      </x:c>
      <x:c r="H97" s="18" t="n">
        <x:f>E97*G97</x:f>
        <x:v>9.016011086084337</x:v>
      </x:c>
      <x:c r="I97" s="11" t="str">
        <x:v>Catalog price; ordinary local supply.</x:v>
      </x:c>
      <x:c r="J97" s="2"/>
      <x:c r="K97" s="2"/>
    </x:row>
    <x:row r="98" ht="37" customHeight="1">
      <x:c r="C98" s="2" t="str">
        <x:v>stable</x:v>
      </x:c>
      <x:c r="D98" s="11" t="str">
        <x:v>Carpenter</x:v>
      </x:c>
      <x:c r="E98" s="42" t="n">
        <x:v>150</x:v>
      </x:c>
      <x:c r="F98" s="11" t="str">
        <x:v>worker-day</x:v>
      </x:c>
      <x:c r="G98" s="51" t="n">
        <x:f>'Wages and Rations'!$H$20</x:f>
        <x:v>0.01893362328077711</x:v>
      </x:c>
      <x:c r="H98" s="18" t="n">
        <x:f>E98*G98</x:f>
        <x:v>2.8400434921165667</x:v>
      </x:c>
      <x:c r="I98" s="11" t="str">
        <x:v>Stalls and feed fittings.</x:v>
      </x:c>
      <x:c r="J98" s="2"/>
      <x:c r="K98" s="2"/>
    </x:row>
    <x:row r="99" ht="37" customHeight="1">
      <x:c r="C99" s="2" t="str">
        <x:v>smithy</x:v>
      </x:c>
      <x:c r="D99" s="11" t="str">
        <x:v>Small timber cottage</x:v>
      </x:c>
      <x:c r="E99" s="42" t="n">
        <x:v>1</x:v>
      </x:c>
      <x:c r="F99" s="11" t="str">
        <x:v>completed unit</x:v>
      </x:c>
      <x:c r="G99" s="51" t="n">
        <x:f>'Building Works'!$H$9</x:f>
        <x:v>7.570396748557413</x:v>
      </x:c>
      <x:c r="H99" s="18" t="n">
        <x:f>E99*G99</x:f>
        <x:v>7.570396748557413</x:v>
      </x:c>
      <x:c r="I99" s="11" t="str">
        <x:v>Completed component quote, including its stated allowance.</x:v>
      </x:c>
      <x:c r="J99" s="2"/>
      <x:c r="K99" s="2"/>
    </x:row>
    <x:row r="100" ht="37" customHeight="1">
      <x:c r="C100" s="2" t="str">
        <x:v>smithy</x:v>
      </x:c>
      <x:c r="D100" s="11" t="str">
        <x:v>Building rubble stone</x:v>
      </x:c>
      <x:c r="E100" s="42" t="n">
        <x:v>8</x:v>
      </x:c>
      <x:c r="F100" s="11" t="str">
        <x:v>long ton</x:v>
      </x:c>
      <x:c r="G100" s="51" t="n">
        <x:f>'Price Catalog'!$G$189</x:f>
        <x:v>0.2272034793693253</x:v>
      </x:c>
      <x:c r="H100" s="18" t="n">
        <x:f>E100*G100</x:f>
        <x:v>1.8176278349546025</x:v>
      </x:c>
      <x:c r="I100" s="11" t="str">
        <x:v>Catalog price; ordinary local supply.</x:v>
      </x:c>
      <x:c r="J100" s="2"/>
      <x:c r="K100" s="2"/>
    </x:row>
    <x:row r="101" ht="37" customHeight="1">
      <x:c r="C101" s="2" t="str">
        <x:v>smithy</x:v>
      </x:c>
      <x:c r="D101" s="11" t="str">
        <x:v>Burnt lime</x:v>
      </x:c>
      <x:c r="E101" s="42" t="n">
        <x:v>2</x:v>
      </x:c>
      <x:c r="F101" s="11" t="str">
        <x:v>long ton</x:v>
      </x:c>
      <x:c r="G101" s="51" t="n">
        <x:f>'Price Catalog'!$G$193</x:f>
        <x:v>0.9088139174773012</x:v>
      </x:c>
      <x:c r="H101" s="18" t="n">
        <x:f>E101*G101</x:f>
        <x:v>1.8176278349546025</x:v>
      </x:c>
      <x:c r="I101" s="11" t="str">
        <x:v>Catalog price; ordinary local supply.</x:v>
      </x:c>
      <x:c r="J101" s="2"/>
      <x:c r="K101" s="2"/>
    </x:row>
    <x:row r="102" ht="37" customHeight="1">
      <x:c r="C102" s="2" t="str">
        <x:v>smithy</x:v>
      </x:c>
      <x:c r="D102" s="11" t="str">
        <x:v>Smith anvil</x:v>
      </x:c>
      <x:c r="E102" s="42" t="n">
        <x:v>1</x:v>
      </x:c>
      <x:c r="F102" s="11" t="str">
        <x:v>100 lb</x:v>
      </x:c>
      <x:c r="G102" s="51" t="n">
        <x:f>'Price Catalog'!$G$220</x:f>
        <x:v>1.0819213303301205</x:v>
      </x:c>
      <x:c r="H102" s="18" t="n">
        <x:f>E102*G102</x:f>
        <x:v>1.0819213303301205</x:v>
      </x:c>
      <x:c r="I102" s="11" t="str">
        <x:v>Catalog price; ordinary local supply.</x:v>
      </x:c>
      <x:c r="J102" s="2"/>
      <x:c r="K102" s="2"/>
    </x:row>
    <x:row r="103" ht="37" customHeight="1">
      <x:c r="C103" s="2" t="str">
        <x:v>smithy</x:v>
      </x:c>
      <x:c r="D103" s="11" t="str">
        <x:v>Smith bellows</x:v>
      </x:c>
      <x:c r="E103" s="42" t="n">
        <x:v>1</x:v>
      </x:c>
      <x:c r="F103" s="11" t="str">
        <x:v>large pair</x:v>
      </x:c>
      <x:c r="G103" s="51" t="n">
        <x:f>'Price Catalog'!$G$245</x:f>
        <x:v>0.7573449312310844</x:v>
      </x:c>
      <x:c r="H103" s="18" t="n">
        <x:f>E103*G103</x:f>
        <x:v>0.7573449312310844</x:v>
      </x:c>
      <x:c r="I103" s="11" t="str">
        <x:v>Catalog price; ordinary local supply.</x:v>
      </x:c>
      <x:c r="J103" s="2"/>
      <x:c r="K103" s="2"/>
    </x:row>
    <x:row r="104" ht="37" customHeight="1">
      <x:c r="C104" s="2" t="str">
        <x:v>smithy</x:v>
      </x:c>
      <x:c r="D104" s="11" t="str">
        <x:v>Smith hammer</x:v>
      </x:c>
      <x:c r="E104" s="42" t="n">
        <x:v>3</x:v>
      </x:c>
      <x:c r="F104" s="11" t="str">
        <x:v>each</x:v>
      </x:c>
      <x:c r="G104" s="51" t="n">
        <x:f>'Price Catalog'!$G$227</x:f>
        <x:v>0.07573449312310843</x:v>
      </x:c>
      <x:c r="H104" s="18" t="n">
        <x:f>E104*G104</x:f>
        <x:v>0.22720347936932528</x:v>
      </x:c>
      <x:c r="I104" s="11" t="str">
        <x:v>Catalog price; ordinary local supply.</x:v>
      </x:c>
      <x:c r="J104" s="2"/>
      <x:c r="K104" s="2"/>
    </x:row>
    <x:row r="105" ht="37" customHeight="1">
      <x:c r="C105" s="2" t="str">
        <x:v>smithy</x:v>
      </x:c>
      <x:c r="D105" s="11" t="str">
        <x:v>Smith tongs</x:v>
      </x:c>
      <x:c r="E105" s="42" t="n">
        <x:v>3</x:v>
      </x:c>
      <x:c r="F105" s="11" t="str">
        <x:v>pair</x:v>
      </x:c>
      <x:c r="G105" s="51" t="n">
        <x:f>'Price Catalog'!$G$228</x:f>
        <x:v>0.09466811640388555</x:v>
      </x:c>
      <x:c r="H105" s="18" t="n">
        <x:f>E105*G105</x:f>
        <x:v>0.2840043492116566</x:v>
      </x:c>
      <x:c r="I105" s="11" t="str">
        <x:v>Catalog price; ordinary local supply.</x:v>
      </x:c>
      <x:c r="J105" s="2"/>
      <x:c r="K105" s="2"/>
    </x:row>
    <x:row r="106" ht="37" customHeight="1">
      <x:c r="C106" s="2" t="str">
        <x:v>smithy</x:v>
      </x:c>
      <x:c r="D106" s="11" t="str">
        <x:v>Mounted grindstone</x:v>
      </x:c>
      <x:c r="E106" s="42" t="n">
        <x:v>1</x:v>
      </x:c>
      <x:c r="F106" s="11" t="str">
        <x:v>each</x:v>
      </x:c>
      <x:c r="G106" s="51" t="n">
        <x:f>'Price Catalog'!$G$246</x:f>
        <x:v>0.6626768148271988</x:v>
      </x:c>
      <x:c r="H106" s="18" t="n">
        <x:f>E106*G106</x:f>
        <x:v>0.6626768148271988</x:v>
      </x:c>
      <x:c r="I106" s="11" t="str">
        <x:v>Catalog price; ordinary local supply.</x:v>
      </x:c>
      <x:c r="J106" s="2"/>
      <x:c r="K106" s="2"/>
    </x:row>
    <x:row r="107" ht="37" customHeight="1">
      <x:c r="C107" s="2" t="str">
        <x:v>smithy</x:v>
      </x:c>
      <x:c r="D107" s="11" t="str">
        <x:v>Mason</x:v>
      </x:c>
      <x:c r="E107" s="42" t="n">
        <x:v>80</x:v>
      </x:c>
      <x:c r="F107" s="11" t="str">
        <x:v>worker-day</x:v>
      </x:c>
      <x:c r="G107" s="51" t="n">
        <x:f>'Wages and Rations'!$H$21</x:f>
        <x:v>0.01893362328077711</x:v>
      </x:c>
      <x:c r="H107" s="18" t="n">
        <x:f>E107*G107</x:f>
        <x:v>1.5146898624621687</x:v>
      </x:c>
      <x:c r="I107" s="11" t="str">
        <x:v>Additional paid workdays, cash only.</x:v>
      </x:c>
      <x:c r="J107" s="2"/>
      <x:c r="K107" s="2"/>
    </x:row>
    <x:row r="108" ht="37" customHeight="1">
      <x:c r="C108" s="2" t="str">
        <x:v>watermill</x:v>
      </x:c>
      <x:c r="D108" s="11" t="str">
        <x:v>Timber granary, 1,000-q capacity</x:v>
      </x:c>
      <x:c r="E108" s="42" t="n">
        <x:v>2</x:v>
      </x:c>
      <x:c r="F108" s="11" t="str">
        <x:v>building; ordinary site</x:v>
      </x:c>
      <x:c r="G108" s="51" t="n">
        <x:f>'Basis'!$F$104</x:f>
        <x:v>189.33623280777107</x:v>
      </x:c>
      <x:c r="H108" s="18" t="n">
        <x:f>E108*G108</x:f>
        <x:v>378.67246561554214</x:v>
      </x:c>
      <x:c r="I108" s="11" t="str">
        <x:v>Mill building, wheel and machinery allowance.</x:v>
      </x:c>
      <x:c r="J108" s="2"/>
      <x:c r="K108" s="2"/>
    </x:row>
    <x:row r="109" ht="37" customHeight="1">
      <x:c r="C109" s="2" t="str">
        <x:v>watermill</x:v>
      </x:c>
      <x:c r="D109" s="11" t="str">
        <x:v>Dressed building stone</x:v>
      </x:c>
      <x:c r="E109" s="42" t="n">
        <x:v>25</x:v>
      </x:c>
      <x:c r="F109" s="11" t="str">
        <x:v>long ton</x:v>
      </x:c>
      <x:c r="G109" s="51" t="n">
        <x:f>'Price Catalog'!$G$190</x:f>
        <x:v>0.9088139174773012</x:v>
      </x:c>
      <x:c r="H109" s="18" t="n">
        <x:f>E109*G109</x:f>
        <x:v>22.72034793693253</x:v>
      </x:c>
      <x:c r="I109" s="11" t="str">
        <x:v>Catalog price; ordinary local supply.</x:v>
      </x:c>
      <x:c r="J109" s="2"/>
      <x:c r="K109" s="2"/>
    </x:row>
    <x:row r="110" ht="37" customHeight="1">
      <x:c r="C110" s="2" t="str">
        <x:v>watermill</x:v>
      </x:c>
      <x:c r="D110" s="11" t="str">
        <x:v>Dressed ordinary timber</x:v>
      </x:c>
      <x:c r="E110" s="42" t="n">
        <x:v>100</x:v>
      </x:c>
      <x:c r="F110" s="11" t="str">
        <x:v>cartload, 30 cu ft</x:v>
      </x:c>
      <x:c r="G110" s="51" t="n">
        <x:f>'Price Catalog'!$G$176</x:f>
        <x:v>0.3786724656155422</x:v>
      </x:c>
      <x:c r="H110" s="18" t="n">
        <x:f>E110*G110</x:f>
        <x:v>37.86724656155422</x:v>
      </x:c>
      <x:c r="I110" s="11" t="str">
        <x:v>Catalog price; ordinary local supply.</x:v>
      </x:c>
      <x:c r="J110" s="2"/>
      <x:c r="K110" s="2"/>
    </x:row>
    <x:row r="111" ht="37" customHeight="1">
      <x:c r="C111" s="2" t="str">
        <x:v>watermill</x:v>
      </x:c>
      <x:c r="D111" s="11" t="str">
        <x:v>Worked iron stock</x:v>
      </x:c>
      <x:c r="E111" s="42" t="n">
        <x:v>180</x:v>
      </x:c>
      <x:c r="F111" s="11" t="str">
        <x:v>stone (14 lb)</x:v>
      </x:c>
      <x:c r="G111" s="51" t="n">
        <x:f>'Price Catalog'!$G$203</x:f>
        <x:v>0.09016011086084337</x:v>
      </x:c>
      <x:c r="H111" s="18" t="n">
        <x:f>E111*G111</x:f>
        <x:v>16.228819954951806</x:v>
      </x:c>
      <x:c r="I111" s="11" t="str">
        <x:v>Catalog price; ordinary local supply.</x:v>
      </x:c>
      <x:c r="J111" s="2"/>
      <x:c r="K111" s="2"/>
    </x:row>
    <x:row r="112" ht="37" customHeight="1">
      <x:c r="C112" s="2" t="str">
        <x:v>watermill</x:v>
      </x:c>
      <x:c r="D112" s="11" t="str">
        <x:v>Mason</x:v>
      </x:c>
      <x:c r="E112" s="42" t="n">
        <x:v>500</x:v>
      </x:c>
      <x:c r="F112" s="11" t="str">
        <x:v>worker-day</x:v>
      </x:c>
      <x:c r="G112" s="51" t="n">
        <x:f>'Wages and Rations'!$H$21</x:f>
        <x:v>0.01893362328077711</x:v>
      </x:c>
      <x:c r="H112" s="18" t="n">
        <x:f>E112*G112</x:f>
        <x:v>9.466811640388554</x:v>
      </x:c>
      <x:c r="I112" s="11" t="str">
        <x:v>Additional paid workdays, cash only.</x:v>
      </x:c>
      <x:c r="J112" s="2"/>
      <x:c r="K112" s="2"/>
    </x:row>
    <x:row r="113" ht="37" customHeight="1">
      <x:c r="C113" s="2" t="str">
        <x:v>watermill</x:v>
      </x:c>
      <x:c r="D113" s="11" t="str">
        <x:v>Carpenter</x:v>
      </x:c>
      <x:c r="E113" s="42" t="n">
        <x:v>700</x:v>
      </x:c>
      <x:c r="F113" s="11" t="str">
        <x:v>worker-day</x:v>
      </x:c>
      <x:c r="G113" s="51" t="n">
        <x:f>'Wages and Rations'!$H$20</x:f>
        <x:v>0.01893362328077711</x:v>
      </x:c>
      <x:c r="H113" s="18" t="n">
        <x:f>E113*G113</x:f>
        <x:v>13.253536296543977</x:v>
      </x:c>
      <x:c r="I113" s="11" t="str">
        <x:v>Additional paid workdays, cash only.</x:v>
      </x:c>
      <x:c r="J113" s="2"/>
      <x:c r="K113" s="2"/>
    </x:row>
    <x:row r="114" ht="37" customHeight="1">
      <x:c r="C114" s="2" t="str">
        <x:v>watermill</x:v>
      </x:c>
      <x:c r="D114" s="11" t="str">
        <x:v>Unskilled day labourer</x:v>
      </x:c>
      <x:c r="E114" s="42" t="n">
        <x:v>3500</x:v>
      </x:c>
      <x:c r="F114" s="11" t="str">
        <x:v>worker-day</x:v>
      </x:c>
      <x:c r="G114" s="51" t="n">
        <x:f>'Wages and Rations'!$H$8</x:f>
        <x:v>0.0019320023755895006</x:v>
      </x:c>
      <x:c r="H114" s="18" t="n">
        <x:f>E114*G114</x:f>
        <x:v>6.762008314563253</x:v>
      </x:c>
      <x:c r="I114" s="11" t="str">
        <x:v>Additional paid workdays, cash only.</x:v>
      </x:c>
      <x:c r="J114" s="2"/>
      <x:c r="K114" s="2"/>
    </x:row>
    <x:row r="115" ht="37" customHeight="1">
      <x:c r="C115" s="2" t="str">
        <x:v>windmill</x:v>
      </x:c>
      <x:c r="D115" s="11" t="str">
        <x:v>Timber granary, 1,000-q capacity</x:v>
      </x:c>
      <x:c r="E115" s="42" t="n">
        <x:v>2.5</x:v>
      </x:c>
      <x:c r="F115" s="11" t="str">
        <x:v>building; ordinary site</x:v>
      </x:c>
      <x:c r="G115" s="51" t="n">
        <x:f>'Basis'!$F$104</x:f>
        <x:v>189.33623280777107</x:v>
      </x:c>
      <x:c r="H115" s="18" t="n">
        <x:f>E115*G115</x:f>
        <x:v>473.34058201942764</x:v>
      </x:c>
      <x:c r="I115" s="11" t="str">
        <x:v>Mill building and machinery allowance.</x:v>
      </x:c>
      <x:c r="J115" s="2"/>
      <x:c r="K115" s="2"/>
    </x:row>
    <x:row r="116" ht="37" customHeight="1">
      <x:c r="C116" s="2" t="str">
        <x:v>windmill</x:v>
      </x:c>
      <x:c r="D116" s="11" t="str">
        <x:v>Sailcloth</x:v>
      </x:c>
      <x:c r="E116" s="42" t="n">
        <x:v>200</x:v>
      </x:c>
      <x:c r="F116" s="11" t="str">
        <x:v>yard x 1-yard width</x:v>
      </x:c>
      <x:c r="G116" s="51" t="n">
        <x:f>'Price Catalog'!$G$137</x:f>
        <x:v>0.037867246561554206</x:v>
      </x:c>
      <x:c r="H116" s="18" t="n">
        <x:f>E116*G116</x:f>
        <x:v>7.573449312310841</x:v>
      </x:c>
      <x:c r="I116" s="11" t="str">
        <x:v>Catalog price; ordinary local supply.</x:v>
      </x:c>
      <x:c r="J116" s="2"/>
      <x:c r="K116" s="2"/>
    </x:row>
    <x:row r="117" ht="37" customHeight="1">
      <x:c r="C117" s="2" t="str">
        <x:v>windmill</x:v>
      </x:c>
      <x:c r="D117" s="11" t="str">
        <x:v>Worked iron stock</x:v>
      </x:c>
      <x:c r="E117" s="42" t="n">
        <x:v>150</x:v>
      </x:c>
      <x:c r="F117" s="11" t="str">
        <x:v>stone (14 lb)</x:v>
      </x:c>
      <x:c r="G117" s="51" t="n">
        <x:f>'Price Catalog'!$G$203</x:f>
        <x:v>0.09016011086084337</x:v>
      </x:c>
      <x:c r="H117" s="18" t="n">
        <x:f>E117*G117</x:f>
        <x:v>13.524016629126505</x:v>
      </x:c>
      <x:c r="I117" s="11" t="str">
        <x:v>Catalog price; ordinary local supply.</x:v>
      </x:c>
      <x:c r="J117" s="2"/>
      <x:c r="K117" s="2"/>
    </x:row>
    <x:row r="118" ht="37" customHeight="1">
      <x:c r="C118" s="2" t="str">
        <x:v>windmill</x:v>
      </x:c>
      <x:c r="D118" s="11" t="str">
        <x:v>Carpenter</x:v>
      </x:c>
      <x:c r="E118" s="42" t="n">
        <x:v>800</x:v>
      </x:c>
      <x:c r="F118" s="11" t="str">
        <x:v>worker-day</x:v>
      </x:c>
      <x:c r="G118" s="51" t="n">
        <x:f>'Wages and Rations'!$H$20</x:f>
        <x:v>0.01893362328077711</x:v>
      </x:c>
      <x:c r="H118" s="18" t="n">
        <x:f>E118*G118</x:f>
        <x:v>15.146898624621688</x:v>
      </x:c>
      <x:c r="I118" s="11" t="str">
        <x:v>Additional paid workdays, cash only.</x:v>
      </x:c>
      <x:c r="J118" s="2"/>
      <x:c r="K118" s="2"/>
    </x:row>
    <x:row r="119" ht="37" customHeight="1">
      <x:c r="C119" s="2" t="str">
        <x:v>windmill</x:v>
      </x:c>
      <x:c r="D119" s="11" t="str">
        <x:v>Unskilled day labourer</x:v>
      </x:c>
      <x:c r="E119" s="42" t="n">
        <x:v>1200</x:v>
      </x:c>
      <x:c r="F119" s="11" t="str">
        <x:v>worker-day</x:v>
      </x:c>
      <x:c r="G119" s="51" t="n">
        <x:f>'Wages and Rations'!$H$8</x:f>
        <x:v>0.0019320023755895006</x:v>
      </x:c>
      <x:c r="H119" s="18" t="n">
        <x:f>E119*G119</x:f>
        <x:v>2.318402850707401</x:v>
      </x:c>
      <x:c r="I119" s="11" t="str">
        <x:v>Additional paid workdays, cash only.</x:v>
      </x:c>
      <x:c r="J119" s="2"/>
      <x:c r="K119" s="2"/>
    </x:row>
    <x:row r="120" ht="37" customHeight="1">
      <x:c r="C120" s="2" t="str">
        <x:v>warehouse</x:v>
      </x:c>
      <x:c r="D120" s="11" t="str">
        <x:v>Timber granary, 1,000-q capacity</x:v>
      </x:c>
      <x:c r="E120" s="42" t="n">
        <x:v>1</x:v>
      </x:c>
      <x:c r="F120" s="11" t="str">
        <x:v>building; ordinary site</x:v>
      </x:c>
      <x:c r="G120" s="51" t="n">
        <x:f>'Basis'!$F$104</x:f>
        <x:v>189.33623280777107</x:v>
      </x:c>
      <x:c r="H120" s="18" t="n">
        <x:f>E120*G120</x:f>
        <x:v>189.33623280777107</x:v>
      </x:c>
      <x:c r="I120" s="11" t="str">
        <x:v>Comparable structural capacity to the fiscal granary.</x:v>
      </x:c>
      <x:c r="J120" s="2"/>
      <x:c r="K120" s="2"/>
    </x:row>
    <x:row r="121" ht="37" customHeight="1">
      <x:c r="C121" s="2" t="str">
        <x:v>warehouse</x:v>
      </x:c>
      <x:c r="D121" s="11" t="str">
        <x:v>Good large lock</x:v>
      </x:c>
      <x:c r="E121" s="42" t="n">
        <x:v>4</x:v>
      </x:c>
      <x:c r="F121" s="11" t="str">
        <x:v>lock with 2 keys</x:v>
      </x:c>
      <x:c r="G121" s="51" t="n">
        <x:f>'Price Catalog'!$G$215</x:f>
        <x:v>0.2704803325825301</x:v>
      </x:c>
      <x:c r="H121" s="18" t="n">
        <x:f>E121*G121</x:f>
        <x:v>1.0819213303301205</x:v>
      </x:c>
      <x:c r="I121" s="11" t="str">
        <x:v>Catalog price; ordinary local supply.</x:v>
      </x:c>
      <x:c r="J121" s="2"/>
      <x:c r="K121" s="2"/>
    </x:row>
    <x:row r="122" ht="37" customHeight="1">
      <x:c r="C122" s="2" t="str">
        <x:v>warehouse</x:v>
      </x:c>
      <x:c r="D122" s="11" t="str">
        <x:v>Worked iron stock</x:v>
      </x:c>
      <x:c r="E122" s="42" t="n">
        <x:v>80</x:v>
      </x:c>
      <x:c r="F122" s="11" t="str">
        <x:v>stone (14 lb)</x:v>
      </x:c>
      <x:c r="G122" s="51" t="n">
        <x:f>'Price Catalog'!$G$203</x:f>
        <x:v>0.09016011086084337</x:v>
      </x:c>
      <x:c r="H122" s="18" t="n">
        <x:f>E122*G122</x:f>
        <x:v>7.212808868867469</x:v>
      </x:c>
      <x:c r="I122" s="11" t="str">
        <x:v>Catalog price; ordinary local supply.</x:v>
      </x:c>
      <x:c r="J122" s="2"/>
      <x:c r="K122" s="2"/>
    </x:row>
    <x:row r="123" ht="37" customHeight="1">
      <x:c r="C123" s="2" t="str">
        <x:v>warehouse</x:v>
      </x:c>
      <x:c r="D123" s="11" t="str">
        <x:v>Carpenter</x:v>
      </x:c>
      <x:c r="E123" s="42" t="n">
        <x:v>180</x:v>
      </x:c>
      <x:c r="F123" s="11" t="str">
        <x:v>worker-day</x:v>
      </x:c>
      <x:c r="G123" s="51" t="n">
        <x:f>'Wages and Rations'!$H$20</x:f>
        <x:v>0.01893362328077711</x:v>
      </x:c>
      <x:c r="H123" s="18" t="n">
        <x:f>E123*G123</x:f>
        <x:v>3.40805219053988</x:v>
      </x:c>
      <x:c r="I123" s="11" t="str">
        <x:v>Cargo doors and fitting work.</x:v>
      </x:c>
      <x:c r="J123" s="2"/>
      <x:c r="K123" s="2"/>
    </x:row>
    <x:row r="124" ht="37" customHeight="1">
      <x:c r="C124" s="2" t="str">
        <x:v>inn</x:v>
      </x:c>
      <x:c r="D124" s="11" t="str">
        <x:v>Modest stone-and-timber house</x:v>
      </x:c>
      <x:c r="E124" s="42" t="n">
        <x:v>2</x:v>
      </x:c>
      <x:c r="F124" s="11" t="str">
        <x:v>completed unit</x:v>
      </x:c>
      <x:c r="G124" s="51" t="n">
        <x:f>'Building Works'!$H$10</x:f>
        <x:v>85.2203543069203</x:v>
      </x:c>
      <x:c r="H124" s="18" t="n">
        <x:f>E124*G124</x:f>
        <x:v>170.4407086138406</x:v>
      </x:c>
      <x:c r="I124" s="11" t="str">
        <x:v>Completed component quote, including its stated allowance.</x:v>
      </x:c>
      <x:c r="J124" s="2"/>
      <x:c r="K124" s="2"/>
    </x:row>
    <x:row r="125" ht="37" customHeight="1">
      <x:c r="C125" s="2" t="str">
        <x:v>inn</x:v>
      </x:c>
      <x:c r="D125" s="11" t="str">
        <x:v>Stable for 50 horses</x:v>
      </x:c>
      <x:c r="E125" s="42" t="n">
        <x:v>0.2</x:v>
      </x:c>
      <x:c r="F125" s="11" t="str">
        <x:v>completed unit</x:v>
      </x:c>
      <x:c r="G125" s="51" t="n">
        <x:f>'Building Works'!$H$18</x:f>
        <x:v>342.1080326559272</x:v>
      </x:c>
      <x:c r="H125" s="18" t="n">
        <x:f>E125*G125</x:f>
        <x:v>68.42160653118545</x:v>
      </x:c>
      <x:c r="I125" s="11" t="str">
        <x:v>One-fifth stable-equivalent allowance for ten horses.</x:v>
      </x:c>
      <x:c r="J125" s="2"/>
      <x:c r="K125" s="2"/>
    </x:row>
    <x:row r="126" ht="37" customHeight="1">
      <x:c r="C126" s="2" t="str">
        <x:v>inn</x:v>
      </x:c>
      <x:c r="D126" s="11" t="str">
        <x:v>Wooden bed frame</x:v>
      </x:c>
      <x:c r="E126" s="42" t="n">
        <x:v>20</x:v>
      </x:c>
      <x:c r="F126" s="11" t="str">
        <x:v>single</x:v>
      </x:c>
      <x:c r="G126" s="51" t="n">
        <x:f>'Price Catalog'!$G$264</x:f>
        <x:v>0.4733405820194277</x:v>
      </x:c>
      <x:c r="H126" s="18" t="n">
        <x:f>E126*G126</x:f>
        <x:v>9.466811640388554</x:v>
      </x:c>
      <x:c r="I126" s="11" t="str">
        <x:v>Catalog price; ordinary local supply.</x:v>
      </x:c>
      <x:c r="J126" s="2"/>
      <x:c r="K126" s="2"/>
    </x:row>
    <x:row r="127" ht="37" customHeight="1">
      <x:c r="C127" s="2" t="str">
        <x:v>inn</x:v>
      </x:c>
      <x:c r="D127" s="11" t="str">
        <x:v>Straw-filled bed tick</x:v>
      </x:c>
      <x:c r="E127" s="42" t="n">
        <x:v>20</x:v>
      </x:c>
      <x:c r="F127" s="11" t="str">
        <x:v>single</x:v>
      </x:c>
      <x:c r="G127" s="51" t="n">
        <x:f>'Price Catalog'!$G$159</x:f>
        <x:v>0.04733405820194277</x:v>
      </x:c>
      <x:c r="H127" s="18" t="n">
        <x:f>E127*G127</x:f>
        <x:v>0.9466811640388555</x:v>
      </x:c>
      <x:c r="I127" s="11" t="str">
        <x:v>Catalog price; ordinary local supply.</x:v>
      </x:c>
      <x:c r="J127" s="2"/>
      <x:c r="K127" s="2"/>
    </x:row>
    <x:row r="128" ht="37" customHeight="1">
      <x:c r="C128" s="2" t="str">
        <x:v>inn</x:v>
      </x:c>
      <x:c r="D128" s="11" t="str">
        <x:v>Wool blanket</x:v>
      </x:c>
      <x:c r="E128" s="42" t="n">
        <x:v>30</x:v>
      </x:c>
      <x:c r="F128" s="11" t="str">
        <x:v>each, 6 x 5 ft</x:v>
      </x:c>
      <x:c r="G128" s="51" t="n">
        <x:f>'Price Catalog'!$G$157</x:f>
        <x:v>0.085201304763497</x:v>
      </x:c>
      <x:c r="H128" s="18" t="n">
        <x:f>E128*G128</x:f>
        <x:v>2.55603914290491</x:v>
      </x:c>
      <x:c r="I128" s="11" t="str">
        <x:v>Catalog price; ordinary local supply.</x:v>
      </x:c>
      <x:c r="J128" s="2"/>
      <x:c r="K128" s="2"/>
    </x:row>
    <x:row r="129" ht="37" customHeight="1">
      <x:c r="C129" s="2" t="str">
        <x:v>inn</x:v>
      </x:c>
      <x:c r="D129" s="11" t="str">
        <x:v>Plain wooden table</x:v>
      </x:c>
      <x:c r="E129" s="42" t="n">
        <x:v>5</x:v>
      </x:c>
      <x:c r="F129" s="11" t="str">
        <x:v>6-ft table</x:v>
      </x:c>
      <x:c r="G129" s="51" t="n">
        <x:f>'Price Catalog'!$G$261</x:f>
        <x:v>0.3786724656155422</x:v>
      </x:c>
      <x:c r="H129" s="18" t="n">
        <x:f>E129*G129</x:f>
        <x:v>1.893362328077711</x:v>
      </x:c>
      <x:c r="I129" s="11" t="str">
        <x:v>Catalog price; ordinary local supply.</x:v>
      </x:c>
      <x:c r="J129" s="2"/>
      <x:c r="K129" s="2"/>
    </x:row>
    <x:row r="130" ht="37" customHeight="1">
      <x:c r="C130" s="2" t="str">
        <x:v>inn</x:v>
      </x:c>
      <x:c r="D130" s="11" t="str">
        <x:v>Wooden bench</x:v>
      </x:c>
      <x:c r="E130" s="42" t="n">
        <x:v>12</x:v>
      </x:c>
      <x:c r="F130" s="11" t="str">
        <x:v>6-ft bench</x:v>
      </x:c>
      <x:c r="G130" s="51" t="n">
        <x:f>'Price Catalog'!$G$262</x:f>
        <x:v>0.15146898624621685</x:v>
      </x:c>
      <x:c r="H130" s="18" t="n">
        <x:f>E130*G130</x:f>
        <x:v>1.8176278349546022</x:v>
      </x:c>
      <x:c r="I130" s="11" t="str">
        <x:v>Catalog price; ordinary local supply.</x:v>
      </x:c>
      <x:c r="J130" s="2"/>
      <x:c r="K130" s="2"/>
    </x:row>
    <x:row r="131" ht="37" customHeight="1">
      <x:c r="C131" s="2" t="str">
        <x:v>inn</x:v>
      </x:c>
      <x:c r="D131" s="11" t="str">
        <x:v>Iron cauldron</x:v>
      </x:c>
      <x:c r="E131" s="42" t="n">
        <x:v>2</x:v>
      </x:c>
      <x:c r="F131" s="11" t="str">
        <x:v>10-gallon capacity</x:v>
      </x:c>
      <x:c r="G131" s="51" t="n">
        <x:f>'Price Catalog'!$G$218</x:f>
        <x:v>0.3606404434433735</x:v>
      </x:c>
      <x:c r="H131" s="18" t="n">
        <x:f>E131*G131</x:f>
        <x:v>0.721280886886747</x:v>
      </x:c>
      <x:c r="I131" s="11" t="str">
        <x:v>Catalog price; ordinary local supply.</x:v>
      </x:c>
      <x:c r="J131" s="2"/>
      <x:c r="K131" s="2"/>
    </x:row>
    <x:row r="132" ht="37" customHeight="1">
      <x:c r="C132" s="2" t="str">
        <x:v>well</x:v>
      </x:c>
      <x:c r="D132" s="11" t="str">
        <x:v>Dressed building stone</x:v>
      </x:c>
      <x:c r="E132" s="42" t="n">
        <x:v>30</x:v>
      </x:c>
      <x:c r="F132" s="11" t="str">
        <x:v>long ton</x:v>
      </x:c>
      <x:c r="G132" s="51" t="n">
        <x:f>'Price Catalog'!$G$190</x:f>
        <x:v>0.9088139174773012</x:v>
      </x:c>
      <x:c r="H132" s="18" t="n">
        <x:f>E132*G132</x:f>
        <x:v>27.264417524319036</x:v>
      </x:c>
      <x:c r="I132" s="11" t="str">
        <x:v>Catalog price; ordinary local supply.</x:v>
      </x:c>
      <x:c r="J132" s="2"/>
      <x:c r="K132" s="2"/>
    </x:row>
    <x:row r="133" ht="37" customHeight="1">
      <x:c r="C133" s="2" t="str">
        <x:v>well</x:v>
      </x:c>
      <x:c r="D133" s="11" t="str">
        <x:v>Burnt lime</x:v>
      </x:c>
      <x:c r="E133" s="42" t="n">
        <x:v>3</x:v>
      </x:c>
      <x:c r="F133" s="11" t="str">
        <x:v>long ton</x:v>
      </x:c>
      <x:c r="G133" s="51" t="n">
        <x:f>'Price Catalog'!$G$193</x:f>
        <x:v>0.9088139174773012</x:v>
      </x:c>
      <x:c r="H133" s="18" t="n">
        <x:f>E133*G133</x:f>
        <x:v>2.726441752431904</x:v>
      </x:c>
      <x:c r="I133" s="11" t="str">
        <x:v>Catalog price; ordinary local supply.</x:v>
      </x:c>
      <x:c r="J133" s="2"/>
      <x:c r="K133" s="2"/>
    </x:row>
    <x:row r="134" ht="37" customHeight="1">
      <x:c r="C134" s="2" t="str">
        <x:v>well</x:v>
      </x:c>
      <x:c r="D134" s="11" t="str">
        <x:v>Dressed ordinary timber</x:v>
      </x:c>
      <x:c r="E134" s="42" t="n">
        <x:v>6</x:v>
      </x:c>
      <x:c r="F134" s="11" t="str">
        <x:v>cartload, 30 cu ft</x:v>
      </x:c>
      <x:c r="G134" s="51" t="n">
        <x:f>'Price Catalog'!$G$176</x:f>
        <x:v>0.3786724656155422</x:v>
      </x:c>
      <x:c r="H134" s="18" t="n">
        <x:f>E134*G134</x:f>
        <x:v>2.272034793693253</x:v>
      </x:c>
      <x:c r="I134" s="11" t="str">
        <x:v>Catalog price; ordinary local supply.</x:v>
      </x:c>
      <x:c r="J134" s="2"/>
      <x:c r="K134" s="2"/>
    </x:row>
    <x:row r="135" ht="37" customHeight="1">
      <x:c r="C135" s="2" t="str">
        <x:v>well</x:v>
      </x:c>
      <x:c r="D135" s="11" t="str">
        <x:v>Worked iron stock</x:v>
      </x:c>
      <x:c r="E135" s="42" t="n">
        <x:v>15</x:v>
      </x:c>
      <x:c r="F135" s="11" t="str">
        <x:v>stone (14 lb)</x:v>
      </x:c>
      <x:c r="G135" s="51" t="n">
        <x:f>'Price Catalog'!$G$203</x:f>
        <x:v>0.09016011086084337</x:v>
      </x:c>
      <x:c r="H135" s="18" t="n">
        <x:f>E135*G135</x:f>
        <x:v>1.3524016629126505</x:v>
      </x:c>
      <x:c r="I135" s="11" t="str">
        <x:v>Catalog price; ordinary local supply.</x:v>
      </x:c>
      <x:c r="J135" s="2"/>
      <x:c r="K135" s="2"/>
    </x:row>
    <x:row r="136" ht="37" customHeight="1">
      <x:c r="C136" s="2" t="str">
        <x:v>well</x:v>
      </x:c>
      <x:c r="D136" s="11" t="str">
        <x:v>Mason</x:v>
      </x:c>
      <x:c r="E136" s="42" t="n">
        <x:v>120</x:v>
      </x:c>
      <x:c r="F136" s="11" t="str">
        <x:v>worker-day</x:v>
      </x:c>
      <x:c r="G136" s="51" t="n">
        <x:f>'Wages and Rations'!$H$21</x:f>
        <x:v>0.01893362328077711</x:v>
      </x:c>
      <x:c r="H136" s="18" t="n">
        <x:f>E136*G136</x:f>
        <x:v>2.272034793693253</x:v>
      </x:c>
      <x:c r="I136" s="11" t="str">
        <x:v>Additional paid workdays, cash only.</x:v>
      </x:c>
      <x:c r="J136" s="2"/>
      <x:c r="K136" s="2"/>
    </x:row>
    <x:row r="137" ht="37" customHeight="1">
      <x:c r="C137" s="2" t="str">
        <x:v>well</x:v>
      </x:c>
      <x:c r="D137" s="11" t="str">
        <x:v>Unskilled day labourer</x:v>
      </x:c>
      <x:c r="E137" s="42" t="n">
        <x:v>600</x:v>
      </x:c>
      <x:c r="F137" s="11" t="str">
        <x:v>worker-day</x:v>
      </x:c>
      <x:c r="G137" s="51" t="n">
        <x:f>'Wages and Rations'!$H$8</x:f>
        <x:v>0.0019320023755895006</x:v>
      </x:c>
      <x:c r="H137" s="18" t="n">
        <x:f>E137*G137</x:f>
        <x:v>1.1592014253537004</x:v>
      </x:c>
      <x:c r="I137" s="11" t="str">
        <x:v>Additional paid workdays, cash only.</x:v>
      </x:c>
      <x:c r="J137" s="2"/>
      <x:c r="K137" s="2"/>
    </x:row>
    <x:row r="138" ht="37" customHeight="1">
      <x:c r="C138" s="2" t="str">
        <x:v>cistern</x:v>
      </x:c>
      <x:c r="D138" s="11" t="str">
        <x:v>Dressed building stone</x:v>
      </x:c>
      <x:c r="E138" s="42" t="n">
        <x:v>100</x:v>
      </x:c>
      <x:c r="F138" s="11" t="str">
        <x:v>long ton</x:v>
      </x:c>
      <x:c r="G138" s="51" t="n">
        <x:f>'Price Catalog'!$G$190</x:f>
        <x:v>0.9088139174773012</x:v>
      </x:c>
      <x:c r="H138" s="18" t="n">
        <x:f>E138*G138</x:f>
        <x:v>90.88139174773012</x:v>
      </x:c>
      <x:c r="I138" s="11" t="str">
        <x:v>Catalog price; ordinary local supply.</x:v>
      </x:c>
      <x:c r="J138" s="2"/>
      <x:c r="K138" s="2"/>
    </x:row>
    <x:row r="139" ht="37" customHeight="1">
      <x:c r="C139" s="2" t="str">
        <x:v>cistern</x:v>
      </x:c>
      <x:c r="D139" s="11" t="str">
        <x:v>Burnt lime</x:v>
      </x:c>
      <x:c r="E139" s="42" t="n">
        <x:v>20</x:v>
      </x:c>
      <x:c r="F139" s="11" t="str">
        <x:v>long ton</x:v>
      </x:c>
      <x:c r="G139" s="51" t="n">
        <x:f>'Price Catalog'!$G$193</x:f>
        <x:v>0.9088139174773012</x:v>
      </x:c>
      <x:c r="H139" s="18" t="n">
        <x:f>E139*G139</x:f>
        <x:v>18.176278349546024</x:v>
      </x:c>
      <x:c r="I139" s="11" t="str">
        <x:v>Catalog price; ordinary local supply.</x:v>
      </x:c>
      <x:c r="J139" s="2"/>
      <x:c r="K139" s="2"/>
    </x:row>
    <x:row r="140" ht="37" customHeight="1">
      <x:c r="C140" s="2" t="str">
        <x:v>cistern</x:v>
      </x:c>
      <x:c r="D140" s="11" t="str">
        <x:v>Lead stock</x:v>
      </x:c>
      <x:c r="E140" s="42" t="n">
        <x:v>100</x:v>
      </x:c>
      <x:c r="F140" s="11" t="str">
        <x:v>stone (14 lb)</x:v>
      </x:c>
      <x:c r="G140" s="51" t="n">
        <x:f>'Price Catalog'!$G$210</x:f>
        <x:v>0.09917612194692771</x:v>
      </x:c>
      <x:c r="H140" s="18" t="n">
        <x:f>E140*G140</x:f>
        <x:v>9.91761219469277</x:v>
      </x:c>
      <x:c r="I140" s="11" t="str">
        <x:v>Catalog price; ordinary local supply.</x:v>
      </x:c>
      <x:c r="J140" s="2"/>
      <x:c r="K140" s="2"/>
    </x:row>
    <x:row r="141" ht="37" customHeight="1">
      <x:c r="C141" s="2" t="str">
        <x:v>cistern</x:v>
      </x:c>
      <x:c r="D141" s="11" t="str">
        <x:v>Mason</x:v>
      </x:c>
      <x:c r="E141" s="42" t="n">
        <x:v>500</x:v>
      </x:c>
      <x:c r="F141" s="11" t="str">
        <x:v>worker-day</x:v>
      </x:c>
      <x:c r="G141" s="51" t="n">
        <x:f>'Wages and Rations'!$H$21</x:f>
        <x:v>0.01893362328077711</x:v>
      </x:c>
      <x:c r="H141" s="18" t="n">
        <x:f>E141*G141</x:f>
        <x:v>9.466811640388554</x:v>
      </x:c>
      <x:c r="I141" s="11" t="str">
        <x:v>Additional paid workdays, cash only.</x:v>
      </x:c>
      <x:c r="J141" s="2"/>
      <x:c r="K141" s="2"/>
    </x:row>
    <x:row r="142" ht="37" customHeight="1">
      <x:c r="C142" s="2" t="str">
        <x:v>cistern</x:v>
      </x:c>
      <x:c r="D142" s="11" t="str">
        <x:v>Unskilled day labourer</x:v>
      </x:c>
      <x:c r="E142" s="42" t="n">
        <x:v>1500</x:v>
      </x:c>
      <x:c r="F142" s="11" t="str">
        <x:v>worker-day</x:v>
      </x:c>
      <x:c r="G142" s="51" t="n">
        <x:f>'Wages and Rations'!$H$8</x:f>
        <x:v>0.0019320023755895006</x:v>
      </x:c>
      <x:c r="H142" s="18" t="n">
        <x:f>E142*G142</x:f>
        <x:v>2.898003563384251</x:v>
      </x:c>
      <x:c r="I142" s="11" t="str">
        <x:v>Additional paid workdays, cash only.</x:v>
      </x:c>
      <x:c r="J142" s="2"/>
      <x:c r="K142" s="2"/>
    </x:row>
    <x:row r="143" ht="37" customHeight="1">
      <x:c r="C143" s="2" t="str">
        <x:v>bridge_wood</x:v>
      </x:c>
      <x:c r="D143" s="11" t="str">
        <x:v>Dressed ordinary timber</x:v>
      </x:c>
      <x:c r="E143" s="42" t="n">
        <x:v>150</x:v>
      </x:c>
      <x:c r="F143" s="11" t="str">
        <x:v>cartload, 30 cu ft</x:v>
      </x:c>
      <x:c r="G143" s="51" t="n">
        <x:f>'Price Catalog'!$G$176</x:f>
        <x:v>0.3786724656155422</x:v>
      </x:c>
      <x:c r="H143" s="18" t="n">
        <x:f>E143*G143</x:f>
        <x:v>56.80086984233133</x:v>
      </x:c>
      <x:c r="I143" s="11" t="str">
        <x:v>Catalog price; ordinary local supply.</x:v>
      </x:c>
      <x:c r="J143" s="2"/>
      <x:c r="K143" s="2"/>
    </x:row>
    <x:row r="144" ht="37" customHeight="1">
      <x:c r="C144" s="2" t="str">
        <x:v>bridge_wood</x:v>
      </x:c>
      <x:c r="D144" s="11" t="str">
        <x:v>Building rubble stone</x:v>
      </x:c>
      <x:c r="E144" s="42" t="n">
        <x:v>70</x:v>
      </x:c>
      <x:c r="F144" s="11" t="str">
        <x:v>long ton</x:v>
      </x:c>
      <x:c r="G144" s="51" t="n">
        <x:f>'Price Catalog'!$G$189</x:f>
        <x:v>0.2272034793693253</x:v>
      </x:c>
      <x:c r="H144" s="18" t="n">
        <x:f>E144*G144</x:f>
        <x:v>15.904243555852771</x:v>
      </x:c>
      <x:c r="I144" s="11" t="str">
        <x:v>Catalog price; ordinary local supply.</x:v>
      </x:c>
      <x:c r="J144" s="2"/>
      <x:c r="K144" s="2"/>
    </x:row>
    <x:row r="145" ht="37" customHeight="1">
      <x:c r="C145" s="2" t="str">
        <x:v>bridge_wood</x:v>
      </x:c>
      <x:c r="D145" s="11" t="str">
        <x:v>Burnt lime</x:v>
      </x:c>
      <x:c r="E145" s="42" t="n">
        <x:v>8</x:v>
      </x:c>
      <x:c r="F145" s="11" t="str">
        <x:v>long ton</x:v>
      </x:c>
      <x:c r="G145" s="51" t="n">
        <x:f>'Price Catalog'!$G$193</x:f>
        <x:v>0.9088139174773012</x:v>
      </x:c>
      <x:c r="H145" s="18" t="n">
        <x:f>E145*G145</x:f>
        <x:v>7.27051133981841</x:v>
      </x:c>
      <x:c r="I145" s="11" t="str">
        <x:v>Catalog price; ordinary local supply.</x:v>
      </x:c>
      <x:c r="J145" s="2"/>
      <x:c r="K145" s="2"/>
    </x:row>
    <x:row r="146" ht="37" customHeight="1">
      <x:c r="C146" s="2" t="str">
        <x:v>bridge_wood</x:v>
      </x:c>
      <x:c r="D146" s="11" t="str">
        <x:v>Worked iron stock</x:v>
      </x:c>
      <x:c r="E146" s="42" t="n">
        <x:v>180</x:v>
      </x:c>
      <x:c r="F146" s="11" t="str">
        <x:v>stone (14 lb)</x:v>
      </x:c>
      <x:c r="G146" s="51" t="n">
        <x:f>'Price Catalog'!$G$203</x:f>
        <x:v>0.09016011086084337</x:v>
      </x:c>
      <x:c r="H146" s="18" t="n">
        <x:f>E146*G146</x:f>
        <x:v>16.228819954951806</x:v>
      </x:c>
      <x:c r="I146" s="11" t="str">
        <x:v>Catalog price; ordinary local supply.</x:v>
      </x:c>
      <x:c r="J146" s="2"/>
      <x:c r="K146" s="2"/>
    </x:row>
    <x:row r="147" ht="37" customHeight="1">
      <x:c r="C147" s="2" t="str">
        <x:v>bridge_wood</x:v>
      </x:c>
      <x:c r="D147" s="11" t="str">
        <x:v>Carpenter</x:v>
      </x:c>
      <x:c r="E147" s="42" t="n">
        <x:v>700</x:v>
      </x:c>
      <x:c r="F147" s="11" t="str">
        <x:v>worker-day</x:v>
      </x:c>
      <x:c r="G147" s="51" t="n">
        <x:f>'Wages and Rations'!$H$20</x:f>
        <x:v>0.01893362328077711</x:v>
      </x:c>
      <x:c r="H147" s="18" t="n">
        <x:f>E147*G147</x:f>
        <x:v>13.253536296543977</x:v>
      </x:c>
      <x:c r="I147" s="11" t="str">
        <x:v>Additional paid workdays, cash only.</x:v>
      </x:c>
      <x:c r="J147" s="2"/>
      <x:c r="K147" s="2"/>
    </x:row>
    <x:row r="148" ht="37" customHeight="1">
      <x:c r="C148" s="2" t="str">
        <x:v>bridge_wood</x:v>
      </x:c>
      <x:c r="D148" s="11" t="str">
        <x:v>Mason</x:v>
      </x:c>
      <x:c r="E148" s="42" t="n">
        <x:v>250</x:v>
      </x:c>
      <x:c r="F148" s="11" t="str">
        <x:v>worker-day</x:v>
      </x:c>
      <x:c r="G148" s="51" t="n">
        <x:f>'Wages and Rations'!$H$21</x:f>
        <x:v>0.01893362328077711</x:v>
      </x:c>
      <x:c r="H148" s="18" t="n">
        <x:f>E148*G148</x:f>
        <x:v>4.733405820194277</x:v>
      </x:c>
      <x:c r="I148" s="11" t="str">
        <x:v>Additional paid workdays, cash only.</x:v>
      </x:c>
      <x:c r="J148" s="2"/>
      <x:c r="K148" s="2"/>
    </x:row>
    <x:row r="149" ht="37" customHeight="1">
      <x:c r="C149" s="2" t="str">
        <x:v>bridge_wood</x:v>
      </x:c>
      <x:c r="D149" s="11" t="str">
        <x:v>Unskilled day labourer</x:v>
      </x:c>
      <x:c r="E149" s="42" t="n">
        <x:v>2000</x:v>
      </x:c>
      <x:c r="F149" s="11" t="str">
        <x:v>worker-day</x:v>
      </x:c>
      <x:c r="G149" s="51" t="n">
        <x:f>'Wages and Rations'!$H$8</x:f>
        <x:v>0.0019320023755895006</x:v>
      </x:c>
      <x:c r="H149" s="18" t="n">
        <x:f>E149*G149</x:f>
        <x:v>3.864004751179001</x:v>
      </x:c>
      <x:c r="I149" s="11" t="str">
        <x:v>Additional paid workdays, cash only.</x:v>
      </x:c>
      <x:c r="J149" s="2"/>
      <x:c r="K149" s="2"/>
    </x:row>
    <x:row r="150" ht="37" customHeight="1">
      <x:c r="C150" s="2" t="str">
        <x:v>bridge_stone</x:v>
      </x:c>
      <x:c r="D150" s="11" t="str">
        <x:v>Stone curtain wall</x:v>
      </x:c>
      <x:c r="E150" s="42" t="n">
        <x:v>12</x:v>
      </x:c>
      <x:c r="F150" s="11" t="str">
        <x:v>10-yard section; ordinary site</x:v>
      </x:c>
      <x:c r="G150" s="51" t="n">
        <x:f>'Basis'!$F$105</x:f>
        <x:v>284.00434921165663</x:v>
      </x:c>
      <x:c r="H150" s="18" t="n">
        <x:f>E150*G150</x:f>
        <x:v>3408.0521905398796</x:v>
      </x:c>
      <x:c r="I150" s="11" t="str">
        <x:v>Arch and abutment masonry-price equivalents.</x:v>
      </x:c>
      <x:c r="J150" s="2"/>
      <x:c r="K150" s="2"/>
    </x:row>
    <x:row r="151" ht="37" customHeight="1">
      <x:c r="C151" s="2" t="str">
        <x:v>bridge_stone</x:v>
      </x:c>
      <x:c r="D151" s="11" t="str">
        <x:v>Dressed ordinary timber</x:v>
      </x:c>
      <x:c r="E151" s="42" t="n">
        <x:v>150</x:v>
      </x:c>
      <x:c r="F151" s="11" t="str">
        <x:v>cartload, 30 cu ft</x:v>
      </x:c>
      <x:c r="G151" s="51" t="n">
        <x:f>'Price Catalog'!$G$176</x:f>
        <x:v>0.3786724656155422</x:v>
      </x:c>
      <x:c r="H151" s="18" t="n">
        <x:f>E151*G151</x:f>
        <x:v>56.80086984233133</x:v>
      </x:c>
      <x:c r="I151" s="11" t="str">
        <x:v>Temporary centering and staging.</x:v>
      </x:c>
      <x:c r="J151" s="2"/>
      <x:c r="K151" s="2"/>
    </x:row>
    <x:row r="152" ht="37" customHeight="1">
      <x:c r="C152" s="2" t="str">
        <x:v>bridge_stone</x:v>
      </x:c>
      <x:c r="D152" s="11" t="str">
        <x:v>Worked iron stock</x:v>
      </x:c>
      <x:c r="E152" s="42" t="n">
        <x:v>80</x:v>
      </x:c>
      <x:c r="F152" s="11" t="str">
        <x:v>stone (14 lb)</x:v>
      </x:c>
      <x:c r="G152" s="51" t="n">
        <x:f>'Price Catalog'!$G$203</x:f>
        <x:v>0.09016011086084337</x:v>
      </x:c>
      <x:c r="H152" s="18" t="n">
        <x:f>E152*G152</x:f>
        <x:v>7.212808868867469</x:v>
      </x:c>
      <x:c r="I152" s="11" t="str">
        <x:v>Catalog price; ordinary local supply.</x:v>
      </x:c>
      <x:c r="J152" s="2"/>
      <x:c r="K152" s="2"/>
    </x:row>
    <x:row r="153" ht="37" customHeight="1">
      <x:c r="C153" s="2" t="str">
        <x:v>bridge_stone</x:v>
      </x:c>
      <x:c r="D153" s="11" t="str">
        <x:v>Master builder</x:v>
      </x:c>
      <x:c r="E153" s="42" t="n">
        <x:v>300</x:v>
      </x:c>
      <x:c r="F153" s="11" t="str">
        <x:v>worker-day</x:v>
      </x:c>
      <x:c r="G153" s="51" t="n">
        <x:f>'Wages and Rations'!$H$32</x:f>
        <x:v>0.04165397121770964</x:v>
      </x:c>
      <x:c r="H153" s="18" t="n">
        <x:f>E153*G153</x:f>
        <x:v>12.496191365312892</x:v>
      </x:c>
      <x:c r="I153" s="11" t="str">
        <x:v>Additional paid workdays, cash only.</x:v>
      </x:c>
      <x:c r="J153" s="2"/>
      <x:c r="K153" s="2"/>
    </x:row>
    <x:row r="154" ht="37" customHeight="1">
      <x:c r="C154" s="2" t="str">
        <x:v>bridge_stone</x:v>
      </x:c>
      <x:c r="D154" s="11" t="str">
        <x:v>Unskilled day labourer</x:v>
      </x:c>
      <x:c r="E154" s="42" t="n">
        <x:v>2000</x:v>
      </x:c>
      <x:c r="F154" s="11" t="str">
        <x:v>worker-day</x:v>
      </x:c>
      <x:c r="G154" s="51" t="n">
        <x:f>'Wages and Rations'!$H$8</x:f>
        <x:v>0.0019320023755895006</x:v>
      </x:c>
      <x:c r="H154" s="18" t="n">
        <x:f>E154*G154</x:f>
        <x:v>3.864004751179001</x:v>
      </x:c>
      <x:c r="I154" s="11" t="str">
        <x:v>River diversion and bank works beyond masonry quote.</x:v>
      </x:c>
      <x:c r="J154" s="2"/>
      <x:c r="K154" s="2"/>
    </x:row>
    <x:row r="155" ht="37" customHeight="1">
      <x:c r="C155" s="2" t="str">
        <x:v>road_mile</x:v>
      </x:c>
      <x:c r="D155" s="11" t="str">
        <x:v>Gravel</x:v>
      </x:c>
      <x:c r="E155" s="42" t="n">
        <x:v>1400</x:v>
      </x:c>
      <x:c r="F155" s="11" t="str">
        <x:v>long ton</x:v>
      </x:c>
      <x:c r="G155" s="51" t="n">
        <x:f>'Price Catalog'!$G$191</x:f>
        <x:v>0.11360173968466265</x:v>
      </x:c>
      <x:c r="H155" s="18" t="n">
        <x:f>E155*G155</x:f>
        <x:v>159.04243555852773</x:v>
      </x:c>
      <x:c r="I155" s="11" t="str">
        <x:v>Approximate compacted stone quantity per mile.</x:v>
      </x:c>
      <x:c r="J155" s="2"/>
      <x:c r="K155" s="2"/>
    </x:row>
    <x:row r="156" ht="37" customHeight="1">
      <x:c r="C156" s="2" t="str">
        <x:v>road_mile</x:v>
      </x:c>
      <x:c r="D156" s="11" t="str">
        <x:v>Building rubble stone</x:v>
      </x:c>
      <x:c r="E156" s="42" t="n">
        <x:v>60</x:v>
      </x:c>
      <x:c r="F156" s="11" t="str">
        <x:v>long ton</x:v>
      </x:c>
      <x:c r="G156" s="51" t="n">
        <x:f>'Price Catalog'!$G$189</x:f>
        <x:v>0.2272034793693253</x:v>
      </x:c>
      <x:c r="H156" s="18" t="n">
        <x:f>E156*G156</x:f>
        <x:v>13.632208762159518</x:v>
      </x:c>
      <x:c r="I156" s="11" t="str">
        <x:v>Culverts and ordinary drainage stone.</x:v>
      </x:c>
      <x:c r="J156" s="2"/>
      <x:c r="K156" s="2"/>
    </x:row>
    <x:row r="157" ht="37" customHeight="1">
      <x:c r="C157" s="2" t="str">
        <x:v>road_mile</x:v>
      </x:c>
      <x:c r="D157" s="11" t="str">
        <x:v>Burnt lime</x:v>
      </x:c>
      <x:c r="E157" s="42" t="n">
        <x:v>1</x:v>
      </x:c>
      <x:c r="F157" s="11" t="str">
        <x:v>long ton</x:v>
      </x:c>
      <x:c r="G157" s="51" t="n">
        <x:f>'Price Catalog'!$G$193</x:f>
        <x:v>0.9088139174773012</x:v>
      </x:c>
      <x:c r="H157" s="18" t="n">
        <x:f>E157*G157</x:f>
        <x:v>0.9088139174773012</x:v>
      </x:c>
      <x:c r="I157" s="11" t="str">
        <x:v>Catalog price; ordinary local supply.</x:v>
      </x:c>
      <x:c r="J157" s="2"/>
      <x:c r="K157" s="2"/>
    </x:row>
    <x:row r="158" ht="37" customHeight="1">
      <x:c r="C158" s="2" t="str">
        <x:v>road_mile</x:v>
      </x:c>
      <x:c r="D158" s="11" t="str">
        <x:v>Master builder</x:v>
      </x:c>
      <x:c r="E158" s="42" t="n">
        <x:v>30</x:v>
      </x:c>
      <x:c r="F158" s="11" t="str">
        <x:v>worker-day</x:v>
      </x:c>
      <x:c r="G158" s="51" t="n">
        <x:f>'Wages and Rations'!$H$32</x:f>
        <x:v>0.04165397121770964</x:v>
      </x:c>
      <x:c r="H158" s="18" t="n">
        <x:f>E158*G158</x:f>
        <x:v>1.2496191365312892</x:v>
      </x:c>
      <x:c r="I158" s="11" t="str">
        <x:v>Additional paid workdays, cash only.</x:v>
      </x:c>
      <x:c r="J158" s="2"/>
      <x:c r="K158" s="2"/>
    </x:row>
    <x:row r="159" ht="37" customHeight="1">
      <x:c r="C159" s="2" t="str">
        <x:v>road_mile</x:v>
      </x:c>
      <x:c r="D159" s="11" t="str">
        <x:v>Unskilled day labourer</x:v>
      </x:c>
      <x:c r="E159" s="42" t="n">
        <x:v>1200</x:v>
      </x:c>
      <x:c r="F159" s="11" t="str">
        <x:v>worker-day</x:v>
      </x:c>
      <x:c r="G159" s="51" t="n">
        <x:f>'Wages and Rations'!$H$8</x:f>
        <x:v>0.0019320023755895006</x:v>
      </x:c>
      <x:c r="H159" s="18" t="n">
        <x:f>E159*G159</x:f>
        <x:v>2.318402850707401</x:v>
      </x:c>
      <x:c r="I159" s="11" t="str">
        <x:v>Additional paid workdays, cash only.</x:v>
      </x:c>
      <x:c r="J159" s="2"/>
      <x:c r="K159" s="2"/>
    </x:row>
    <x:row r="160" ht="37" customHeight="1">
      <x:c r="C160" s="2" t="str">
        <x:v>road_100</x:v>
      </x:c>
      <x:c r="D160" s="11" t="str">
        <x:v>Gravel road</x:v>
      </x:c>
      <x:c r="E160" s="42" t="n">
        <x:v>100</x:v>
      </x:c>
      <x:c r="F160" s="11" t="str">
        <x:v>completed unit</x:v>
      </x:c>
      <x:c r="G160" s="51" t="n">
        <x:f>'Building Works'!$H$28</x:f>
        <x:v>203.72420225921368</x:v>
      </x:c>
      <x:c r="H160" s="18" t="n">
        <x:f>E160*G160</x:f>
        <x:v>20372.420225921367</x:v>
      </x:c>
      <x:c r="I160" s="11" t="str">
        <x:v>Completed component quote, including its stated allowance.</x:v>
      </x:c>
      <x:c r="J160" s="2"/>
      <x:c r="K160" s="2"/>
    </x:row>
    <x:row r="161" ht="37" customHeight="1">
      <x:c r="C161" s="2" t="str">
        <x:v>quay</x:v>
      </x:c>
      <x:c r="D161" s="11" t="str">
        <x:v>Timber granary, 1,000-q capacity</x:v>
      </x:c>
      <x:c r="E161" s="42" t="n">
        <x:v>4</x:v>
      </x:c>
      <x:c r="F161" s="11" t="str">
        <x:v>building; ordinary site</x:v>
      </x:c>
      <x:c r="G161" s="51" t="n">
        <x:f>'Basis'!$F$104</x:f>
        <x:v>189.33623280777107</x:v>
      </x:c>
      <x:c r="H161" s="18" t="n">
        <x:f>E161*G161</x:f>
        <x:v>757.3449312310843</x:v>
      </x:c>
      <x:c r="I161" s="11" t="str">
        <x:v>Heavy pile and deck construction at four granary-price equivalents.</x:v>
      </x:c>
      <x:c r="J161" s="2"/>
      <x:c r="K161" s="2"/>
    </x:row>
    <x:row r="162" ht="37" customHeight="1">
      <x:c r="C162" s="2" t="str">
        <x:v>quay</x:v>
      </x:c>
      <x:c r="D162" s="11" t="str">
        <x:v>Worked iron stock</x:v>
      </x:c>
      <x:c r="E162" s="42" t="n">
        <x:v>500</x:v>
      </x:c>
      <x:c r="F162" s="11" t="str">
        <x:v>stone (14 lb)</x:v>
      </x:c>
      <x:c r="G162" s="51" t="n">
        <x:f>'Price Catalog'!$G$203</x:f>
        <x:v>0.09016011086084337</x:v>
      </x:c>
      <x:c r="H162" s="18" t="n">
        <x:f>E162*G162</x:f>
        <x:v>45.08005543042169</x:v>
      </x:c>
      <x:c r="I162" s="11" t="str">
        <x:v>Catalog price; ordinary local supply.</x:v>
      </x:c>
      <x:c r="J162" s="2"/>
      <x:c r="K162" s="2"/>
    </x:row>
    <x:row r="163" ht="37" customHeight="1">
      <x:c r="C163" s="2" t="str">
        <x:v>quay</x:v>
      </x:c>
      <x:c r="D163" s="11" t="str">
        <x:v>Dressed ordinary timber</x:v>
      </x:c>
      <x:c r="E163" s="42" t="n">
        <x:v>100</x:v>
      </x:c>
      <x:c r="F163" s="11" t="str">
        <x:v>cartload, 30 cu ft</x:v>
      </x:c>
      <x:c r="G163" s="51" t="n">
        <x:f>'Price Catalog'!$G$176</x:f>
        <x:v>0.3786724656155422</x:v>
      </x:c>
      <x:c r="H163" s="18" t="n">
        <x:f>E163*G163</x:f>
        <x:v>37.86724656155422</x:v>
      </x:c>
      <x:c r="I163" s="11" t="str">
        <x:v>Catalog price; ordinary local supply.</x:v>
      </x:c>
      <x:c r="J163" s="2"/>
      <x:c r="K163" s="2"/>
    </x:row>
    <x:row r="164" ht="37" customHeight="1">
      <x:c r="C164" s="2" t="str">
        <x:v>quay</x:v>
      </x:c>
      <x:c r="D164" s="11" t="str">
        <x:v>Shipwright</x:v>
      </x:c>
      <x:c r="E164" s="42" t="n">
        <x:v>600</x:v>
      </x:c>
      <x:c r="F164" s="11" t="str">
        <x:v>worker-day</x:v>
      </x:c>
      <x:c r="G164" s="51" t="n">
        <x:f>'Wages and Rations'!$H$24</x:f>
        <x:v>0.02650707259308795</x:v>
      </x:c>
      <x:c r="H164" s="18" t="n">
        <x:f>E164*G164</x:f>
        <x:v>15.90424355585277</x:v>
      </x:c>
      <x:c r="I164" s="11" t="str">
        <x:v>Additional paid workdays, cash only.</x:v>
      </x:c>
      <x:c r="J164" s="2"/>
      <x:c r="K164" s="2"/>
    </x:row>
    <x:row r="165" ht="37" customHeight="1">
      <x:c r="C165" s="2" t="str">
        <x:v>quay</x:v>
      </x:c>
      <x:c r="D165" s="11" t="str">
        <x:v>Unskilled day labourer</x:v>
      </x:c>
      <x:c r="E165" s="42" t="n">
        <x:v>2000</x:v>
      </x:c>
      <x:c r="F165" s="11" t="str">
        <x:v>worker-day</x:v>
      </x:c>
      <x:c r="G165" s="51" t="n">
        <x:f>'Wages and Rations'!$H$8</x:f>
        <x:v>0.0019320023755895006</x:v>
      </x:c>
      <x:c r="H165" s="18" t="n">
        <x:f>E165*G165</x:f>
        <x:v>3.864004751179001</x:v>
      </x:c>
      <x:c r="I165" s="11" t="str">
        <x:v>Additional paid workdays, cash only.</x:v>
      </x:c>
      <x:c r="J165" s="2"/>
      <x:c r="K165" s="2"/>
    </x:row>
    <x:row r="166" ht="37" customHeight="1">
      <x:c r="C166" s="2" t="str">
        <x:v>stone_quay</x:v>
      </x:c>
      <x:c r="D166" s="11" t="str">
        <x:v>Stone curtain wall</x:v>
      </x:c>
      <x:c r="E166" s="42" t="n">
        <x:v>8</x:v>
      </x:c>
      <x:c r="F166" s="11" t="str">
        <x:v>10-yard section; ordinary site</x:v>
      </x:c>
      <x:c r="G166" s="51" t="n">
        <x:f>'Basis'!$F$105</x:f>
        <x:v>284.00434921165663</x:v>
      </x:c>
      <x:c r="H166" s="18" t="n">
        <x:f>E166*G166</x:f>
        <x:v>2272.034793693253</x:v>
      </x:c>
      <x:c r="I166" s="11" t="str">
        <x:v>Forty-yard face plus foundations and backing masonry.</x:v>
      </x:c>
      <x:c r="J166" s="2"/>
      <x:c r="K166" s="2"/>
    </x:row>
    <x:row r="167" ht="37" customHeight="1">
      <x:c r="C167" s="2" t="str">
        <x:v>stone_quay</x:v>
      </x:c>
      <x:c r="D167" s="11" t="str">
        <x:v>Timber granary, 1,000-q capacity</x:v>
      </x:c>
      <x:c r="E167" s="42" t="n">
        <x:v>4</x:v>
      </x:c>
      <x:c r="F167" s="11" t="str">
        <x:v>building; ordinary site</x:v>
      </x:c>
      <x:c r="G167" s="51" t="n">
        <x:f>'Basis'!$F$104</x:f>
        <x:v>189.33623280777107</x:v>
      </x:c>
      <x:c r="H167" s="18" t="n">
        <x:f>E167*G167</x:f>
        <x:v>757.3449312310843</x:v>
      </x:c>
      <x:c r="I167" s="11" t="str">
        <x:v>Deck, works staging and cargo-working structure.</x:v>
      </x:c>
      <x:c r="J167" s="2"/>
      <x:c r="K167" s="2"/>
    </x:row>
    <x:row r="168" ht="37" customHeight="1">
      <x:c r="C168" s="2" t="str">
        <x:v>stone_quay</x:v>
      </x:c>
      <x:c r="D168" s="11" t="str">
        <x:v>Worked iron stock</x:v>
      </x:c>
      <x:c r="E168" s="42" t="n">
        <x:v>800</x:v>
      </x:c>
      <x:c r="F168" s="11" t="str">
        <x:v>stone (14 lb)</x:v>
      </x:c>
      <x:c r="G168" s="51" t="n">
        <x:f>'Price Catalog'!$G$203</x:f>
        <x:v>0.09016011086084337</x:v>
      </x:c>
      <x:c r="H168" s="18" t="n">
        <x:f>E168*G168</x:f>
        <x:v>72.1280886886747</x:v>
      </x:c>
      <x:c r="I168" s="11" t="str">
        <x:v>Catalog price; ordinary local supply.</x:v>
      </x:c>
      <x:c r="J168" s="2"/>
      <x:c r="K168" s="2"/>
    </x:row>
    <x:row r="169" ht="37" customHeight="1">
      <x:c r="C169" s="2" t="str">
        <x:v>stone_quay</x:v>
      </x:c>
      <x:c r="D169" s="11" t="str">
        <x:v>Master builder</x:v>
      </x:c>
      <x:c r="E169" s="42" t="n">
        <x:v>300</x:v>
      </x:c>
      <x:c r="F169" s="11" t="str">
        <x:v>worker-day</x:v>
      </x:c>
      <x:c r="G169" s="51" t="n">
        <x:f>'Wages and Rations'!$H$32</x:f>
        <x:v>0.04165397121770964</x:v>
      </x:c>
      <x:c r="H169" s="18" t="n">
        <x:f>E169*G169</x:f>
        <x:v>12.496191365312892</x:v>
      </x:c>
      <x:c r="I169" s="11" t="str">
        <x:v>Additional paid workdays, cash only.</x:v>
      </x:c>
      <x:c r="J169" s="2"/>
      <x:c r="K169" s="2"/>
    </x:row>
    <x:row r="170" ht="37" customHeight="1">
      <x:c r="C170" s="2" t="str">
        <x:v>stone_quay</x:v>
      </x:c>
      <x:c r="D170" s="11" t="str">
        <x:v>Unskilled day labourer</x:v>
      </x:c>
      <x:c r="E170" s="42" t="n">
        <x:v>4000</x:v>
      </x:c>
      <x:c r="F170" s="11" t="str">
        <x:v>worker-day</x:v>
      </x:c>
      <x:c r="G170" s="51" t="n">
        <x:f>'Wages and Rations'!$H$8</x:f>
        <x:v>0.0019320023755895006</x:v>
      </x:c>
      <x:c r="H170" s="18" t="n">
        <x:f>E170*G170</x:f>
        <x:v>7.728009502358002</x:v>
      </x:c>
      <x:c r="I170" s="11" t="str">
        <x:v>Additional paid workdays, cash only.</x:v>
      </x:c>
      <x:c r="J170" s="2"/>
      <x:c r="K170" s="2"/>
    </x:row>
    <x:row r="171" ht="37" customHeight="1">
      <x:c r="C171" s="2" t="str">
        <x:v>breakwater</x:v>
      </x:c>
      <x:c r="D171" s="11" t="str">
        <x:v>Stone curtain wall</x:v>
      </x:c>
      <x:c r="E171" s="42" t="n">
        <x:v>75</x:v>
      </x:c>
      <x:c r="F171" s="11" t="str">
        <x:v>10-yard section; ordinary site</x:v>
      </x:c>
      <x:c r="G171" s="51" t="n">
        <x:f>'Basis'!$F$105</x:f>
        <x:v>284.00434921165663</x:v>
      </x:c>
      <x:c r="H171" s="18" t="n">
        <x:f>E171*G171</x:f>
        <x:v>21300.326190874246</x:v>
      </x:c>
      <x:c r="I171" s="11" t="str">
        <x:v>Marine masonry and foundation equivalents; deep water excluded.</x:v>
      </x:c>
      <x:c r="J171" s="2"/>
      <x:c r="K171" s="2"/>
    </x:row>
    <x:row r="172" ht="37" customHeight="1">
      <x:c r="C172" s="2" t="str">
        <x:v>breakwater</x:v>
      </x:c>
      <x:c r="D172" s="11" t="str">
        <x:v>Building rubble stone</x:v>
      </x:c>
      <x:c r="E172" s="42" t="n">
        <x:v>5000</x:v>
      </x:c>
      <x:c r="F172" s="11" t="str">
        <x:v>long ton</x:v>
      </x:c>
      <x:c r="G172" s="51" t="n">
        <x:f>'Price Catalog'!$G$189</x:f>
        <x:v>0.2272034793693253</x:v>
      </x:c>
      <x:c r="H172" s="18" t="n">
        <x:f>E172*G172</x:f>
        <x:v>1136.0173968466265</x:v>
      </x:c>
      <x:c r="I172" s="11" t="str">
        <x:v>Catalog price; ordinary local supply.</x:v>
      </x:c>
      <x:c r="J172" s="2"/>
      <x:c r="K172" s="2"/>
    </x:row>
    <x:row r="173" ht="37" customHeight="1">
      <x:c r="C173" s="2" t="str">
        <x:v>breakwater</x:v>
      </x:c>
      <x:c r="D173" s="11" t="str">
        <x:v>Unskilled day labourer</x:v>
      </x:c>
      <x:c r="E173" s="42" t="n">
        <x:v>15000</x:v>
      </x:c>
      <x:c r="F173" s="11" t="str">
        <x:v>worker-day</x:v>
      </x:c>
      <x:c r="G173" s="51" t="n">
        <x:f>'Wages and Rations'!$H$8</x:f>
        <x:v>0.0019320023755895006</x:v>
      </x:c>
      <x:c r="H173" s="18" t="n">
        <x:f>E173*G173</x:f>
        <x:v>28.98003563384251</x:v>
      </x:c>
      <x:c r="I173" s="11" t="str">
        <x:v>Additional paid workdays, cash only.</x:v>
      </x:c>
      <x:c r="J173" s="2"/>
      <x:c r="K173" s="2"/>
    </x:row>
    <x:row r="174" ht="37" customHeight="1">
      <x:c r="C174" s="2" t="str">
        <x:v>breakwater</x:v>
      </x:c>
      <x:c r="D174" s="11" t="str">
        <x:v>Master builder</x:v>
      </x:c>
      <x:c r="E174" s="42" t="n">
        <x:v>600</x:v>
      </x:c>
      <x:c r="F174" s="11" t="str">
        <x:v>worker-day</x:v>
      </x:c>
      <x:c r="G174" s="51" t="n">
        <x:f>'Wages and Rations'!$H$32</x:f>
        <x:v>0.04165397121770964</x:v>
      </x:c>
      <x:c r="H174" s="18" t="n">
        <x:f>E174*G174</x:f>
        <x:v>24.992382730625785</x:v>
      </x:c>
      <x:c r="I174" s="11" t="str">
        <x:v>Additional paid workdays, cash only.</x:v>
      </x:c>
      <x:c r="J174" s="2"/>
      <x:c r="K174" s="2"/>
    </x:row>
    <x:row r="175" ht="37" customHeight="1">
      <x:c r="C175" s="2" t="str">
        <x:v>port</x:v>
      </x:c>
      <x:c r="D175" s="11" t="str">
        <x:v>Stone-faced cargo quay</x:v>
      </x:c>
      <x:c r="E175" s="42" t="n">
        <x:v>4</x:v>
      </x:c>
      <x:c r="F175" s="11" t="str">
        <x:v>completed unit</x:v>
      </x:c>
      <x:c r="G175" s="51" t="n">
        <x:f>'Building Works'!$H$31</x:f>
        <x:v>3746.078417376819</x:v>
      </x:c>
      <x:c r="H175" s="18" t="n">
        <x:f>E175*G175</x:f>
        <x:v>14984.313669507275</x:v>
      </x:c>
      <x:c r="I175" s="11" t="str">
        <x:v>Completed component quote, including its stated allowance.</x:v>
      </x:c>
      <x:c r="J175" s="2"/>
      <x:c r="K175" s="2"/>
    </x:row>
    <x:row r="176" ht="37" customHeight="1">
      <x:c r="C176" s="2" t="str">
        <x:v>port</x:v>
      </x:c>
      <x:c r="D176" s="11" t="str">
        <x:v>Harbour breakwater</x:v>
      </x:c>
      <x:c r="E176" s="42" t="n">
        <x:v>1</x:v>
      </x:c>
      <x:c r="F176" s="11" t="str">
        <x:v>completed unit</x:v>
      </x:c>
      <x:c r="G176" s="51" t="n">
        <x:f>'Building Works'!$H$32</x:f>
        <x:v>28112.895007606676</x:v>
      </x:c>
      <x:c r="H176" s="18" t="n">
        <x:f>E176*G176</x:f>
        <x:v>28112.895007606676</x:v>
      </x:c>
      <x:c r="I176" s="11" t="str">
        <x:v>Completed component quote, including its stated allowance.</x:v>
      </x:c>
      <x:c r="J176" s="2"/>
      <x:c r="K176" s="2"/>
    </x:row>
    <x:row r="177" ht="37" customHeight="1">
      <x:c r="C177" s="2" t="str">
        <x:v>port</x:v>
      </x:c>
      <x:c r="D177" s="11" t="str">
        <x:v>Dry cargo warehouse</x:v>
      </x:c>
      <x:c r="E177" s="42" t="n">
        <x:v>10</x:v>
      </x:c>
      <x:c r="F177" s="11" t="str">
        <x:v>completed unit</x:v>
      </x:c>
      <x:c r="G177" s="51" t="n">
        <x:f>'Building Works'!$H$22</x:f>
        <x:v>221.14291671725942</x:v>
      </x:c>
      <x:c r="H177" s="18" t="n">
        <x:f>E177*G177</x:f>
        <x:v>2211.429167172594</x:v>
      </x:c>
      <x:c r="I177" s="11" t="str">
        <x:v>Completed component quote, including its stated allowance.</x:v>
      </x:c>
      <x:c r="J177" s="2"/>
      <x:c r="K177" s="2"/>
    </x:row>
    <x:row r="178" ht="37" customHeight="1">
      <x:c r="C178" s="2" t="str">
        <x:v>port</x:v>
      </x:c>
      <x:c r="D178" s="11" t="str">
        <x:v>Modest stone-and-timber house</x:v>
      </x:c>
      <x:c r="E178" s="42" t="n">
        <x:v>4</x:v>
      </x:c>
      <x:c r="F178" s="11" t="str">
        <x:v>completed unit</x:v>
      </x:c>
      <x:c r="G178" s="51" t="n">
        <x:f>'Building Works'!$H$10</x:f>
        <x:v>85.2203543069203</x:v>
      </x:c>
      <x:c r="H178" s="18" t="n">
        <x:f>E178*G178</x:f>
        <x:v>340.8814172276812</x:v>
      </x:c>
      <x:c r="I178" s="11" t="str">
        <x:v>Completed component quote, including its stated allowance.</x:v>
      </x:c>
      <x:c r="J178" s="2"/>
      <x:c r="K178" s="2"/>
    </x:row>
    <x:row r="179" ht="37" customHeight="1">
      <x:c r="C179" s="2" t="str">
        <x:v>port</x:v>
      </x:c>
      <x:c r="D179" s="11" t="str">
        <x:v>Gravel road</x:v>
      </x:c>
      <x:c r="E179" s="42" t="n">
        <x:v>1</x:v>
      </x:c>
      <x:c r="F179" s="11" t="str">
        <x:v>completed unit</x:v>
      </x:c>
      <x:c r="G179" s="51" t="n">
        <x:f>'Building Works'!$H$28</x:f>
        <x:v>203.72420225921368</x:v>
      </x:c>
      <x:c r="H179" s="18" t="n">
        <x:f>E179*G179</x:f>
        <x:v>203.72420225921368</x:v>
      </x:c>
      <x:c r="I179" s="11" t="str">
        <x:v>Completed component quote, including its stated allowance.</x:v>
      </x:c>
      <x:c r="J179" s="2"/>
      <x:c r="K179" s="2"/>
    </x:row>
    <x:row r="180" ht="37" customHeight="1">
      <x:c r="C180" s="2" t="str">
        <x:v>port</x:v>
      </x:c>
      <x:c r="D180" s="11" t="str">
        <x:v>Siege scorpion</x:v>
      </x:c>
      <x:c r="E180" s="42" t="n">
        <x:v>4</x:v>
      </x:c>
      <x:c r="F180" s="11" t="str">
        <x:v>engine</x:v>
      </x:c>
      <x:c r="G180" s="51" t="n">
        <x:f>'Price Catalog'!$G$298</x:f>
        <x:v>28.40043492116566</x:v>
      </x:c>
      <x:c r="H180" s="18" t="n">
        <x:f>E180*G180</x:f>
        <x:v>113.60173968466265</x:v>
      </x:c>
      <x:c r="I180" s="11" t="str">
        <x:v>Basic harbour defence engines; crews extra.</x:v>
      </x:c>
      <x:c r="J180" s="2"/>
      <x:c r="K180" s="2"/>
    </x:row>
    <x:row r="181" ht="37" customHeight="1">
      <x:c r="C181" s="2" t="str">
        <x:v>small_castle</x:v>
      </x:c>
      <x:c r="D181" s="11" t="str">
        <x:v>Stone curtain wall</x:v>
      </x:c>
      <x:c r="E181" s="42" t="n">
        <x:v>32</x:v>
      </x:c>
      <x:c r="F181" s="11" t="str">
        <x:v>completed unit</x:v>
      </x:c>
      <x:c r="G181" s="51" t="n">
        <x:f>'Building Works'!$H$8</x:f>
        <x:v>284.00434921165663</x:v>
      </x:c>
      <x:c r="H181" s="18" t="n">
        <x:f>E181*G181</x:f>
        <x:v>9088.139174773012</x:v>
      </x:c>
      <x:c r="I181" s="11" t="str">
        <x:v>Completed component quote, including its stated allowance.</x:v>
      </x:c>
      <x:c r="J181" s="2"/>
      <x:c r="K181" s="2"/>
    </x:row>
    <x:row r="182" ht="37" customHeight="1">
      <x:c r="C182" s="2" t="str">
        <x:v>small_castle</x:v>
      </x:c>
      <x:c r="D182" s="11" t="str">
        <x:v>Stone defensive tower</x:v>
      </x:c>
      <x:c r="E182" s="42" t="n">
        <x:v>4</x:v>
      </x:c>
      <x:c r="F182" s="11" t="str">
        <x:v>completed unit</x:v>
      </x:c>
      <x:c r="G182" s="51" t="n">
        <x:f>'Building Works'!$H$13</x:f>
        <x:v>4387.445696801819</x:v>
      </x:c>
      <x:c r="H182" s="18" t="n">
        <x:f>E182*G182</x:f>
        <x:v>17549.782787207278</x:v>
      </x:c>
      <x:c r="I182" s="11" t="str">
        <x:v>Completed component quote, including its stated allowance.</x:v>
      </x:c>
      <x:c r="J182" s="2"/>
      <x:c r="K182" s="2"/>
    </x:row>
    <x:row r="183" ht="37" customHeight="1">
      <x:c r="C183" s="2" t="str">
        <x:v>small_castle</x:v>
      </x:c>
      <x:c r="D183" s="11" t="str">
        <x:v>Fortified gatehouse</x:v>
      </x:c>
      <x:c r="E183" s="42" t="n">
        <x:v>1</x:v>
      </x:c>
      <x:c r="F183" s="11" t="str">
        <x:v>completed unit</x:v>
      </x:c>
      <x:c r="G183" s="51" t="n">
        <x:f>'Building Works'!$H$14</x:f>
        <x:v>11642.051891463267</x:v>
      </x:c>
      <x:c r="H183" s="18" t="n">
        <x:f>E183*G183</x:f>
        <x:v>11642.051891463267</x:v>
      </x:c>
      <x:c r="I183" s="11" t="str">
        <x:v>Completed component quote, including its stated allowance.</x:v>
      </x:c>
      <x:c r="J183" s="2"/>
      <x:c r="K183" s="2"/>
    </x:row>
    <x:row r="184" ht="37" customHeight="1">
      <x:c r="C184" s="2" t="str">
        <x:v>small_castle</x:v>
      </x:c>
      <x:c r="D184" s="11" t="str">
        <x:v>Lordly timber hall</x:v>
      </x:c>
      <x:c r="E184" s="42" t="n">
        <x:v>1</x:v>
      </x:c>
      <x:c r="F184" s="11" t="str">
        <x:v>completed unit</x:v>
      </x:c>
      <x:c r="G184" s="51" t="n">
        <x:f>'Building Works'!$H$11</x:f>
        <x:v>664.6783692883096</x:v>
      </x:c>
      <x:c r="H184" s="18" t="n">
        <x:f>E184*G184</x:f>
        <x:v>664.6783692883096</x:v>
      </x:c>
      <x:c r="I184" s="11" t="str">
        <x:v>Completed component quote, including its stated allowance.</x:v>
      </x:c>
      <x:c r="J184" s="2"/>
      <x:c r="K184" s="2"/>
    </x:row>
    <x:row r="185" ht="37" customHeight="1">
      <x:c r="C185" s="2" t="str">
        <x:v>small_castle</x:v>
      </x:c>
      <x:c r="D185" s="11" t="str">
        <x:v>Timber granary</x:v>
      </x:c>
      <x:c r="E185" s="42" t="n">
        <x:v>2</x:v>
      </x:c>
      <x:c r="F185" s="11" t="str">
        <x:v>completed unit</x:v>
      </x:c>
      <x:c r="G185" s="51" t="n">
        <x:f>'Building Works'!$H$7</x:f>
        <x:v>189.33623280777107</x:v>
      </x:c>
      <x:c r="H185" s="18" t="n">
        <x:f>E185*G185</x:f>
        <x:v>378.67246561554214</x:v>
      </x:c>
      <x:c r="I185" s="11" t="str">
        <x:v>Completed component quote, including its stated allowance.</x:v>
      </x:c>
      <x:c r="J185" s="2"/>
      <x:c r="K185" s="2"/>
    </x:row>
    <x:row r="186" ht="37" customHeight="1">
      <x:c r="C186" s="2" t="str">
        <x:v>small_castle</x:v>
      </x:c>
      <x:c r="D186" s="11" t="str">
        <x:v>Barracks for 100 troops</x:v>
      </x:c>
      <x:c r="E186" s="42" t="n">
        <x:v>1</x:v>
      </x:c>
      <x:c r="F186" s="11" t="str">
        <x:v>completed unit</x:v>
      </x:c>
      <x:c r="G186" s="51" t="n">
        <x:f>'Building Works'!$H$17</x:f>
        <x:v>497.26907544189555</x:v>
      </x:c>
      <x:c r="H186" s="18" t="n">
        <x:f>E186*G186</x:f>
        <x:v>497.26907544189555</x:v>
      </x:c>
      <x:c r="I186" s="11" t="str">
        <x:v>Completed component quote, including its stated allowance.</x:v>
      </x:c>
      <x:c r="J186" s="2"/>
      <x:c r="K186" s="2"/>
    </x:row>
    <x:row r="187" ht="37" customHeight="1">
      <x:c r="C187" s="2" t="str">
        <x:v>small_castle</x:v>
      </x:c>
      <x:c r="D187" s="11" t="str">
        <x:v>Stable for 50 horses</x:v>
      </x:c>
      <x:c r="E187" s="42" t="n">
        <x:v>1</x:v>
      </x:c>
      <x:c r="F187" s="11" t="str">
        <x:v>completed unit</x:v>
      </x:c>
      <x:c r="G187" s="51" t="n">
        <x:f>'Building Works'!$H$18</x:f>
        <x:v>342.1080326559272</x:v>
      </x:c>
      <x:c r="H187" s="18" t="n">
        <x:f>E187*G187</x:f>
        <x:v>342.1080326559272</x:v>
      </x:c>
      <x:c r="I187" s="11" t="str">
        <x:v>Completed component quote, including its stated allowance.</x:v>
      </x:c>
      <x:c r="J187" s="2"/>
      <x:c r="K187" s="2"/>
    </x:row>
    <x:row r="188" ht="37" customHeight="1">
      <x:c r="C188" s="2" t="str">
        <x:v>small_castle</x:v>
      </x:c>
      <x:c r="D188" s="11" t="str">
        <x:v>Lined village well</x:v>
      </x:c>
      <x:c r="E188" s="42" t="n">
        <x:v>1</x:v>
      </x:c>
      <x:c r="F188" s="11" t="str">
        <x:v>completed unit</x:v>
      </x:c>
      <x:c r="G188" s="51" t="n">
        <x:f>'Building Works'!$H$24</x:f>
        <x:v>44.45583834288455</x:v>
      </x:c>
      <x:c r="H188" s="18" t="n">
        <x:f>E188*G188</x:f>
        <x:v>44.45583834288455</x:v>
      </x:c>
      <x:c r="I188" s="11" t="str">
        <x:v>Completed component quote, including its stated allowance.</x:v>
      </x:c>
      <x:c r="J188" s="2"/>
      <x:c r="K188" s="2"/>
    </x:row>
    <x:row r="189" ht="37" customHeight="1">
      <x:c r="C189" s="2" t="str">
        <x:v>major_castle</x:v>
      </x:c>
      <x:c r="D189" s="11" t="str">
        <x:v>Stone curtain wall</x:v>
      </x:c>
      <x:c r="E189" s="42" t="n">
        <x:v>80</x:v>
      </x:c>
      <x:c r="F189" s="11" t="str">
        <x:v>completed unit</x:v>
      </x:c>
      <x:c r="G189" s="51" t="n">
        <x:f>'Building Works'!$H$8</x:f>
        <x:v>284.00434921165663</x:v>
      </x:c>
      <x:c r="H189" s="18" t="n">
        <x:f>E189*G189</x:f>
        <x:v>22720.34793693253</x:v>
      </x:c>
      <x:c r="I189" s="11" t="str">
        <x:v>Completed component quote, including its stated allowance.</x:v>
      </x:c>
      <x:c r="J189" s="2"/>
      <x:c r="K189" s="2"/>
    </x:row>
    <x:row r="190" ht="37" customHeight="1">
      <x:c r="C190" s="2" t="str">
        <x:v>major_castle</x:v>
      </x:c>
      <x:c r="D190" s="11" t="str">
        <x:v>Stone defensive tower</x:v>
      </x:c>
      <x:c r="E190" s="42" t="n">
        <x:v>10</x:v>
      </x:c>
      <x:c r="F190" s="11" t="str">
        <x:v>completed unit</x:v>
      </x:c>
      <x:c r="G190" s="51" t="n">
        <x:f>'Building Works'!$H$13</x:f>
        <x:v>4387.445696801819</x:v>
      </x:c>
      <x:c r="H190" s="18" t="n">
        <x:f>E190*G190</x:f>
        <x:v>43874.456968018196</x:v>
      </x:c>
      <x:c r="I190" s="11" t="str">
        <x:v>Completed component quote, including its stated allowance.</x:v>
      </x:c>
      <x:c r="J190" s="2"/>
      <x:c r="K190" s="2"/>
    </x:row>
    <x:row r="191" ht="37" customHeight="1">
      <x:c r="C191" s="2" t="str">
        <x:v>major_castle</x:v>
      </x:c>
      <x:c r="D191" s="11" t="str">
        <x:v>Fortified gatehouse</x:v>
      </x:c>
      <x:c r="E191" s="42" t="n">
        <x:v>2</x:v>
      </x:c>
      <x:c r="F191" s="11" t="str">
        <x:v>completed unit</x:v>
      </x:c>
      <x:c r="G191" s="51" t="n">
        <x:f>'Building Works'!$H$14</x:f>
        <x:v>11642.051891463267</x:v>
      </x:c>
      <x:c r="H191" s="18" t="n">
        <x:f>E191*G191</x:f>
        <x:v>23284.103782926533</x:v>
      </x:c>
      <x:c r="I191" s="11" t="str">
        <x:v>Completed component quote, including its stated allowance.</x:v>
      </x:c>
      <x:c r="J191" s="2"/>
      <x:c r="K191" s="2"/>
    </x:row>
    <x:row r="192" ht="37" customHeight="1">
      <x:c r="C192" s="2" t="str">
        <x:v>major_castle</x:v>
      </x:c>
      <x:c r="D192" s="11" t="str">
        <x:v>Stone residential keep</x:v>
      </x:c>
      <x:c r="E192" s="42" t="n">
        <x:v>1</x:v>
      </x:c>
      <x:c r="F192" s="11" t="str">
        <x:v>completed unit</x:v>
      </x:c>
      <x:c r="G192" s="51" t="n">
        <x:f>'Building Works'!$H$15</x:f>
        <x:v>19112.69658816559</x:v>
      </x:c>
      <x:c r="H192" s="18" t="n">
        <x:f>E192*G192</x:f>
        <x:v>19112.69658816559</x:v>
      </x:c>
      <x:c r="I192" s="11" t="str">
        <x:v>Completed component quote, including its stated allowance.</x:v>
      </x:c>
      <x:c r="J192" s="2"/>
      <x:c r="K192" s="2"/>
    </x:row>
    <x:row r="193" ht="37" customHeight="1">
      <x:c r="C193" s="2" t="str">
        <x:v>major_castle</x:v>
      </x:c>
      <x:c r="D193" s="11" t="str">
        <x:v>Timber granary</x:v>
      </x:c>
      <x:c r="E193" s="42" t="n">
        <x:v>6</x:v>
      </x:c>
      <x:c r="F193" s="11" t="str">
        <x:v>completed unit</x:v>
      </x:c>
      <x:c r="G193" s="51" t="n">
        <x:f>'Building Works'!$H$7</x:f>
        <x:v>189.33623280777107</x:v>
      </x:c>
      <x:c r="H193" s="18" t="n">
        <x:f>E193*G193</x:f>
        <x:v>1136.0173968466265</x:v>
      </x:c>
      <x:c r="I193" s="11" t="str">
        <x:v>Completed component quote, including its stated allowance.</x:v>
      </x:c>
      <x:c r="J193" s="2"/>
      <x:c r="K193" s="2"/>
    </x:row>
    <x:row r="194" ht="37" customHeight="1">
      <x:c r="C194" s="2" t="str">
        <x:v>major_castle</x:v>
      </x:c>
      <x:c r="D194" s="11" t="str">
        <x:v>Barracks for 100 troops</x:v>
      </x:c>
      <x:c r="E194" s="42" t="n">
        <x:v>4</x:v>
      </x:c>
      <x:c r="F194" s="11" t="str">
        <x:v>completed unit</x:v>
      </x:c>
      <x:c r="G194" s="51" t="n">
        <x:f>'Building Works'!$H$17</x:f>
        <x:v>497.26907544189555</x:v>
      </x:c>
      <x:c r="H194" s="18" t="n">
        <x:f>E194*G194</x:f>
        <x:v>1989.0763017675822</x:v>
      </x:c>
      <x:c r="I194" s="11" t="str">
        <x:v>Completed component quote, including its stated allowance.</x:v>
      </x:c>
      <x:c r="J194" s="2"/>
      <x:c r="K194" s="2"/>
    </x:row>
    <x:row r="195" ht="37" customHeight="1">
      <x:c r="C195" s="2" t="str">
        <x:v>major_castle</x:v>
      </x:c>
      <x:c r="D195" s="11" t="str">
        <x:v>Stable for 50 horses</x:v>
      </x:c>
      <x:c r="E195" s="42" t="n">
        <x:v>3</x:v>
      </x:c>
      <x:c r="F195" s="11" t="str">
        <x:v>completed unit</x:v>
      </x:c>
      <x:c r="G195" s="51" t="n">
        <x:f>'Building Works'!$H$18</x:f>
        <x:v>342.1080326559272</x:v>
      </x:c>
      <x:c r="H195" s="18" t="n">
        <x:f>E195*G195</x:f>
        <x:v>1026.3240979677817</x:v>
      </x:c>
      <x:c r="I195" s="11" t="str">
        <x:v>Completed component quote, including its stated allowance.</x:v>
      </x:c>
      <x:c r="J195" s="2"/>
      <x:c r="K195" s="2"/>
    </x:row>
    <x:row r="196" ht="37" customHeight="1">
      <x:c r="C196" s="2" t="str">
        <x:v>major_castle</x:v>
      </x:c>
      <x:c r="D196" s="11" t="str">
        <x:v>Lined village well</x:v>
      </x:c>
      <x:c r="E196" s="42" t="n">
        <x:v>2</x:v>
      </x:c>
      <x:c r="F196" s="11" t="str">
        <x:v>completed unit</x:v>
      </x:c>
      <x:c r="G196" s="51" t="n">
        <x:f>'Building Works'!$H$24</x:f>
        <x:v>44.45583834288455</x:v>
      </x:c>
      <x:c r="H196" s="18" t="n">
        <x:f>E196*G196</x:f>
        <x:v>88.9116766857691</x:v>
      </x:c>
      <x:c r="I196" s="11" t="str">
        <x:v>Completed component quote, including its stated allowance.</x:v>
      </x:c>
      <x:c r="J196" s="2"/>
      <x:c r="K196" s="2"/>
    </x:row>
    <x:row r="197" ht="37" customHeight="1">
      <x:c r="C197" s="2" t="str">
        <x:v>major_castle</x:v>
      </x:c>
      <x:c r="D197" s="11" t="str">
        <x:v>Village smithy</x:v>
      </x:c>
      <x:c r="E197" s="42" t="n">
        <x:v>2</x:v>
      </x:c>
      <x:c r="F197" s="11" t="str">
        <x:v>completed unit</x:v>
      </x:c>
      <x:c r="G197" s="51" t="n">
        <x:f>'Building Works'!$H$19</x:f>
        <x:v>17.306842504487992</x:v>
      </x:c>
      <x:c r="H197" s="18" t="n">
        <x:f>E197*G197</x:f>
        <x:v>34.613685008975985</x:v>
      </x:c>
      <x:c r="I197" s="11" t="str">
        <x:v>Completed component quote, including its stated allowance.</x:v>
      </x:c>
      <x:c r="J197" s="2"/>
      <x:c r="K197" s="2"/>
    </x:row>
    <x:row r="198" ht="37" customHeight="1">
      <x:c r="C198" s="2" t="str">
        <x:v>fortress</x:v>
      </x:c>
      <x:c r="D198" s="11" t="str">
        <x:v>Stone curtain wall</x:v>
      </x:c>
      <x:c r="E198" s="42" t="n">
        <x:v>200</x:v>
      </x:c>
      <x:c r="F198" s="11" t="str">
        <x:v>completed unit</x:v>
      </x:c>
      <x:c r="G198" s="51" t="n">
        <x:f>'Building Works'!$H$8</x:f>
        <x:v>284.00434921165663</x:v>
      </x:c>
      <x:c r="H198" s="18" t="n">
        <x:f>E198*G198</x:f>
        <x:v>56800.869842331325</x:v>
      </x:c>
      <x:c r="I198" s="11" t="str">
        <x:v>Completed component quote, including its stated allowance.</x:v>
      </x:c>
      <x:c r="J198" s="2"/>
      <x:c r="K198" s="2"/>
    </x:row>
    <x:row r="199" ht="37" customHeight="1">
      <x:c r="C199" s="2" t="str">
        <x:v>fortress</x:v>
      </x:c>
      <x:c r="D199" s="11" t="str">
        <x:v>Stone defensive tower</x:v>
      </x:c>
      <x:c r="E199" s="42" t="n">
        <x:v>20</x:v>
      </x:c>
      <x:c r="F199" s="11" t="str">
        <x:v>completed unit</x:v>
      </x:c>
      <x:c r="G199" s="51" t="n">
        <x:f>'Building Works'!$H$13</x:f>
        <x:v>4387.445696801819</x:v>
      </x:c>
      <x:c r="H199" s="18" t="n">
        <x:f>E199*G199</x:f>
        <x:v>87748.91393603639</x:v>
      </x:c>
      <x:c r="I199" s="11" t="str">
        <x:v>Completed component quote, including its stated allowance.</x:v>
      </x:c>
      <x:c r="J199" s="2"/>
      <x:c r="K199" s="2"/>
    </x:row>
    <x:row r="200" ht="37" customHeight="1">
      <x:c r="C200" s="2" t="str">
        <x:v>fortress</x:v>
      </x:c>
      <x:c r="D200" s="11" t="str">
        <x:v>Fortified gatehouse</x:v>
      </x:c>
      <x:c r="E200" s="42" t="n">
        <x:v>3</x:v>
      </x:c>
      <x:c r="F200" s="11" t="str">
        <x:v>completed unit</x:v>
      </x:c>
      <x:c r="G200" s="51" t="n">
        <x:f>'Building Works'!$H$14</x:f>
        <x:v>11642.051891463267</x:v>
      </x:c>
      <x:c r="H200" s="18" t="n">
        <x:f>E200*G200</x:f>
        <x:v>34926.155674389796</x:v>
      </x:c>
      <x:c r="I200" s="11" t="str">
        <x:v>Completed component quote, including its stated allowance.</x:v>
      </x:c>
      <x:c r="J200" s="2"/>
      <x:c r="K200" s="2"/>
    </x:row>
    <x:row r="201" ht="37" customHeight="1">
      <x:c r="C201" s="2" t="str">
        <x:v>fortress</x:v>
      </x:c>
      <x:c r="D201" s="11" t="str">
        <x:v>Stone residential keep</x:v>
      </x:c>
      <x:c r="E201" s="42" t="n">
        <x:v>2</x:v>
      </x:c>
      <x:c r="F201" s="11" t="str">
        <x:v>completed unit</x:v>
      </x:c>
      <x:c r="G201" s="51" t="n">
        <x:f>'Building Works'!$H$15</x:f>
        <x:v>19112.69658816559</x:v>
      </x:c>
      <x:c r="H201" s="18" t="n">
        <x:f>E201*G201</x:f>
        <x:v>38225.39317633118</x:v>
      </x:c>
      <x:c r="I201" s="11" t="str">
        <x:v>Completed component quote, including its stated allowance.</x:v>
      </x:c>
      <x:c r="J201" s="2"/>
      <x:c r="K201" s="2"/>
    </x:row>
    <x:row r="202" ht="37" customHeight="1">
      <x:c r="C202" s="2" t="str">
        <x:v>fortress</x:v>
      </x:c>
      <x:c r="D202" s="11" t="str">
        <x:v>Timber granary</x:v>
      </x:c>
      <x:c r="E202" s="42" t="n">
        <x:v>16</x:v>
      </x:c>
      <x:c r="F202" s="11" t="str">
        <x:v>completed unit</x:v>
      </x:c>
      <x:c r="G202" s="51" t="n">
        <x:f>'Building Works'!$H$7</x:f>
        <x:v>189.33623280777107</x:v>
      </x:c>
      <x:c r="H202" s="18" t="n">
        <x:f>E202*G202</x:f>
        <x:v>3029.379724924337</x:v>
      </x:c>
      <x:c r="I202" s="11" t="str">
        <x:v>Completed component quote, including its stated allowance.</x:v>
      </x:c>
      <x:c r="J202" s="2"/>
      <x:c r="K202" s="2"/>
    </x:row>
    <x:row r="203" ht="37" customHeight="1">
      <x:c r="C203" s="2" t="str">
        <x:v>fortress</x:v>
      </x:c>
      <x:c r="D203" s="11" t="str">
        <x:v>Barracks for 100 troops</x:v>
      </x:c>
      <x:c r="E203" s="42" t="n">
        <x:v>10</x:v>
      </x:c>
      <x:c r="F203" s="11" t="str">
        <x:v>completed unit</x:v>
      </x:c>
      <x:c r="G203" s="51" t="n">
        <x:f>'Building Works'!$H$17</x:f>
        <x:v>497.26907544189555</x:v>
      </x:c>
      <x:c r="H203" s="18" t="n">
        <x:f>E203*G203</x:f>
        <x:v>4972.690754418955</x:v>
      </x:c>
      <x:c r="I203" s="11" t="str">
        <x:v>Completed component quote, including its stated allowance.</x:v>
      </x:c>
      <x:c r="J203" s="2"/>
      <x:c r="K203" s="2"/>
    </x:row>
    <x:row r="204" ht="37" customHeight="1">
      <x:c r="C204" s="2" t="str">
        <x:v>fortress</x:v>
      </x:c>
      <x:c r="D204" s="11" t="str">
        <x:v>Stable for 50 horses</x:v>
      </x:c>
      <x:c r="E204" s="42" t="n">
        <x:v>8</x:v>
      </x:c>
      <x:c r="F204" s="11" t="str">
        <x:v>completed unit</x:v>
      </x:c>
      <x:c r="G204" s="51" t="n">
        <x:f>'Building Works'!$H$18</x:f>
        <x:v>342.1080326559272</x:v>
      </x:c>
      <x:c r="H204" s="18" t="n">
        <x:f>E204*G204</x:f>
        <x:v>2736.8642612474177</x:v>
      </x:c>
      <x:c r="I204" s="11" t="str">
        <x:v>Completed component quote, including its stated allowance.</x:v>
      </x:c>
      <x:c r="J204" s="2"/>
      <x:c r="K204" s="2"/>
    </x:row>
    <x:row r="205" ht="37" customHeight="1">
      <x:c r="C205" s="2" t="str">
        <x:v>fortress</x:v>
      </x:c>
      <x:c r="D205" s="11" t="str">
        <x:v>Lined village well</x:v>
      </x:c>
      <x:c r="E205" s="42" t="n">
        <x:v>4</x:v>
      </x:c>
      <x:c r="F205" s="11" t="str">
        <x:v>completed unit</x:v>
      </x:c>
      <x:c r="G205" s="51" t="n">
        <x:f>'Building Works'!$H$24</x:f>
        <x:v>44.45583834288455</x:v>
      </x:c>
      <x:c r="H205" s="18" t="n">
        <x:f>E205*G205</x:f>
        <x:v>177.8233533715382</x:v>
      </x:c>
      <x:c r="I205" s="11" t="str">
        <x:v>Completed component quote, including its stated allowance.</x:v>
      </x:c>
      <x:c r="J205" s="2"/>
      <x:c r="K205" s="2"/>
    </x:row>
    <x:row r="206" ht="37" customHeight="1">
      <x:c r="C206" s="2" t="str">
        <x:v>fortress</x:v>
      </x:c>
      <x:c r="D206" s="11" t="str">
        <x:v>Stone rainwater cistern</x:v>
      </x:c>
      <x:c r="E206" s="42" t="n">
        <x:v>4</x:v>
      </x:c>
      <x:c r="F206" s="11" t="str">
        <x:v>completed unit</x:v>
      </x:c>
      <x:c r="G206" s="51" t="n">
        <x:f>'Building Works'!$H$25</x:f>
        <x:v>157.60811699489008</x:v>
      </x:c>
      <x:c r="H206" s="18" t="n">
        <x:f>E206*G206</x:f>
        <x:v>630.4324679795603</x:v>
      </x:c>
      <x:c r="I206" s="11" t="str">
        <x:v>Completed component quote, including its stated allowance.</x:v>
      </x:c>
      <x:c r="J206" s="2"/>
      <x:c r="K206" s="2"/>
    </x:row>
    <x:row r="207" ht="37" customHeight="1">
      <x:c r="C207" s="2" t="str">
        <x:v>fortress</x:v>
      </x:c>
      <x:c r="D207" s="11" t="str">
        <x:v>Village smithy</x:v>
      </x:c>
      <x:c r="E207" s="42" t="n">
        <x:v>4</x:v>
      </x:c>
      <x:c r="F207" s="11" t="str">
        <x:v>completed unit</x:v>
      </x:c>
      <x:c r="G207" s="51" t="n">
        <x:f>'Building Works'!$H$19</x:f>
        <x:v>17.306842504487992</x:v>
      </x:c>
      <x:c r="H207" s="18" t="n">
        <x:f>E207*G207</x:f>
        <x:v>69.22737001795197</x:v>
      </x:c>
      <x:c r="I207" s="11" t="str">
        <x:v>Completed component quote, including its stated allowance.</x:v>
      </x:c>
      <x:c r="J207" s="2"/>
      <x:c r="K207" s="2"/>
    </x:row>
    <x:row r="208" ht="26" customHeight="1">
      <x:c r="C208" s="2"/>
      <x:c r="D208" s="2"/>
      <x:c r="E208" s="2"/>
      <x:c r="F208" s="2"/>
      <x:c r="G208" s="2"/>
      <x:c r="H208" s="2"/>
      <x:c r="I208" s="2"/>
      <x:c r="J208" s="2"/>
      <x:c r="K208" s="2"/>
    </x:row>
    <x:row r="209" ht="26" customHeight="1">
      <x:c r="C209" s="2"/>
      <x:c r="D209" s="2"/>
      <x:c r="E209" s="2"/>
      <x:c r="F209" s="2"/>
      <x:c r="G209" s="2"/>
      <x:c r="H209" s="2"/>
      <x:c r="I209" s="2"/>
      <x:c r="J209" s="2"/>
      <x:c r="K209" s="2"/>
    </x:row>
    <x:row r="210" ht="26" customHeight="1">
      <x:c r="C210" s="2"/>
      <x:c r="D210" s="2"/>
      <x:c r="E210" s="2"/>
      <x:c r="F210" s="2"/>
      <x:c r="G210" s="2"/>
      <x:c r="H210" s="2"/>
      <x:c r="I210" s="2"/>
      <x:c r="J210" s="2"/>
      <x:c r="K210" s="2"/>
    </x:row>
    <x:row r="211" ht="26" customHeight="1">
      <x:c r="C211" s="2"/>
      <x:c r="D211" s="2"/>
      <x:c r="E211" s="2"/>
      <x:c r="F211" s="2"/>
      <x:c r="G211" s="2"/>
      <x:c r="H211" s="2"/>
      <x:c r="I211" s="2"/>
      <x:c r="J211" s="2"/>
      <x:c r="K211" s="2"/>
    </x:row>
    <x:row r="212" ht="26" customHeight="1">
      <x:c r="C212" s="2"/>
      <x:c r="D212" s="2"/>
      <x:c r="E212" s="2"/>
      <x:c r="F212" s="2"/>
      <x:c r="G212" s="2"/>
      <x:c r="H212" s="2"/>
      <x:c r="I212" s="2"/>
      <x:c r="J212" s="2"/>
      <x:c r="K212" s="2"/>
    </x:row>
    <x:row r="213" ht="26" customHeight="1">
      <x:c r="C213" s="2"/>
      <x:c r="D213" s="2"/>
      <x:c r="E213" s="2"/>
      <x:c r="F213" s="2"/>
      <x:c r="G213" s="2"/>
      <x:c r="H213" s="2"/>
      <x:c r="I213" s="2"/>
      <x:c r="J213" s="2"/>
      <x:c r="K213" s="2"/>
    </x:row>
    <x:row r="214" ht="26" customHeight="1">
      <x:c r="C214" s="2"/>
      <x:c r="D214" s="2"/>
      <x:c r="E214" s="2"/>
      <x:c r="F214" s="2"/>
      <x:c r="G214" s="2"/>
      <x:c r="H214" s="2"/>
      <x:c r="I214" s="2"/>
      <x:c r="J214" s="2"/>
      <x:c r="K214" s="2"/>
    </x:row>
    <x:row r="215" ht="26" customHeight="1">
      <x:c r="C215" s="2"/>
      <x:c r="D215" s="2"/>
      <x:c r="E215" s="2"/>
      <x:c r="F215" s="2"/>
      <x:c r="G215" s="2"/>
      <x:c r="H215" s="2"/>
      <x:c r="I215" s="2"/>
      <x:c r="J215" s="2"/>
      <x:c r="K215" s="2"/>
    </x:row>
    <x:row r="216" ht="26" customHeight="1">
      <x:c r="C216" s="2"/>
      <x:c r="D216" s="2"/>
      <x:c r="E216" s="2"/>
      <x:c r="F216" s="2"/>
      <x:c r="G216" s="2"/>
      <x:c r="H216" s="2"/>
      <x:c r="I216" s="2"/>
      <x:c r="J216" s="2"/>
      <x:c r="K216" s="2"/>
    </x:row>
    <x:row r="217" ht="26" customHeight="1">
      <x:c r="C217" s="2"/>
      <x:c r="D217" s="2"/>
      <x:c r="E217" s="2"/>
      <x:c r="F217" s="2"/>
      <x:c r="G217" s="2"/>
      <x:c r="H217" s="2"/>
      <x:c r="I217" s="2"/>
      <x:c r="J217" s="2"/>
      <x:c r="K217" s="2"/>
    </x:row>
    <x:row r="218" ht="26" customHeight="1">
      <x:c r="C218" s="2"/>
      <x:c r="D218" s="2"/>
      <x:c r="E218" s="2"/>
      <x:c r="F218" s="2"/>
      <x:c r="G218" s="2"/>
      <x:c r="H218" s="2"/>
      <x:c r="I218" s="2"/>
      <x:c r="J218" s="2"/>
      <x:c r="K218" s="2"/>
    </x:row>
    <x:row r="219" ht="26" customHeight="1">
      <x:c r="C219" s="2"/>
      <x:c r="D219" s="2"/>
      <x:c r="E219" s="2"/>
      <x:c r="F219" s="2"/>
      <x:c r="G219" s="2"/>
      <x:c r="H219" s="2"/>
      <x:c r="I219" s="2"/>
      <x:c r="J219" s="2"/>
      <x:c r="K219" s="2"/>
    </x:row>
    <x:row r="220" ht="26" customHeight="1">
      <x:c r="C220" s="2"/>
      <x:c r="D220" s="2"/>
      <x:c r="E220" s="2"/>
      <x:c r="F220" s="2"/>
      <x:c r="G220" s="2"/>
      <x:c r="H220" s="2"/>
      <x:c r="I220" s="2"/>
      <x:c r="J220" s="2"/>
      <x:c r="K220" s="2"/>
    </x:row>
    <x:row r="221" ht="26" customHeight="1">
      <x:c r="C221" s="2"/>
      <x:c r="D221" s="2"/>
      <x:c r="E221" s="2"/>
      <x:c r="F221" s="2"/>
      <x:c r="G221" s="2"/>
      <x:c r="H221" s="2"/>
      <x:c r="I221" s="2"/>
      <x:c r="J221" s="2"/>
      <x:c r="K221" s="2"/>
    </x:row>
    <x:row r="222" ht="26" customHeight="1">
      <x:c r="C222" s="2"/>
      <x:c r="D222" s="2"/>
      <x:c r="E222" s="2"/>
      <x:c r="F222" s="2"/>
      <x:c r="G222" s="2"/>
      <x:c r="H222" s="2"/>
      <x:c r="I222" s="2"/>
      <x:c r="J222" s="2"/>
      <x:c r="K222" s="2"/>
    </x:row>
    <x:row r="223" ht="26" customHeight="1">
      <x:c r="C223" s="2"/>
      <x:c r="D223" s="2"/>
      <x:c r="E223" s="2"/>
      <x:c r="F223" s="2"/>
      <x:c r="G223" s="2"/>
      <x:c r="H223" s="2"/>
      <x:c r="I223" s="2"/>
      <x:c r="J223" s="2"/>
      <x:c r="K223" s="2"/>
    </x:row>
    <x:row r="224" ht="26" customHeight="1">
      <x:c r="C224" s="2"/>
      <x:c r="D224" s="2"/>
      <x:c r="E224" s="2"/>
      <x:c r="F224" s="2"/>
      <x:c r="G224" s="2"/>
      <x:c r="H224" s="2"/>
      <x:c r="I224" s="2"/>
      <x:c r="J224" s="2"/>
      <x:c r="K224" s="2"/>
    </x:row>
    <x:row r="225" ht="26" customHeight="1">
      <x:c r="C225" s="2"/>
      <x:c r="D225" s="2"/>
      <x:c r="E225" s="2"/>
      <x:c r="F225" s="2"/>
      <x:c r="G225" s="2"/>
      <x:c r="H225" s="2"/>
      <x:c r="I225" s="2"/>
      <x:c r="J225" s="2"/>
      <x:c r="K225" s="2"/>
    </x:row>
    <x:row r="226" ht="26" customHeight="1">
      <x:c r="C226" s="2"/>
      <x:c r="D226" s="2"/>
      <x:c r="E226" s="2"/>
      <x:c r="F226" s="2"/>
      <x:c r="G226" s="2"/>
      <x:c r="H226" s="2"/>
      <x:c r="I226" s="2"/>
      <x:c r="J226" s="2"/>
      <x:c r="K226" s="2"/>
    </x:row>
    <x:row r="227" ht="26" customHeight="1">
      <x:c r="C227" s="2"/>
      <x:c r="D227" s="2"/>
      <x:c r="E227" s="2"/>
      <x:c r="F227" s="2"/>
      <x:c r="G227" s="2"/>
      <x:c r="H227" s="2"/>
      <x:c r="I227" s="2"/>
      <x:c r="J227" s="2"/>
      <x:c r="K227" s="2"/>
    </x:row>
    <x:row r="228" ht="26" customHeight="1">
      <x:c r="C228" s="2"/>
      <x:c r="D228" s="2"/>
      <x:c r="E228" s="2"/>
      <x:c r="F228" s="2"/>
      <x:c r="G228" s="2"/>
      <x:c r="H228" s="2"/>
      <x:c r="I228" s="2"/>
      <x:c r="J228" s="2"/>
      <x:c r="K228" s="2"/>
    </x:row>
    <x:row r="229" ht="26" customHeight="1">
      <x:c r="C229" s="2"/>
      <x:c r="D229" s="2"/>
      <x:c r="E229" s="2"/>
      <x:c r="F229" s="2"/>
      <x:c r="G229" s="2"/>
      <x:c r="H229" s="2"/>
      <x:c r="I229" s="2"/>
      <x:c r="J229" s="2"/>
      <x:c r="K229" s="2"/>
    </x:row>
    <x:row r="230" ht="26" customHeight="1">
      <x:c r="C230" s="2"/>
      <x:c r="D230" s="2"/>
      <x:c r="E230" s="2"/>
      <x:c r="F230" s="2"/>
      <x:c r="G230" s="2"/>
      <x:c r="H230" s="2"/>
      <x:c r="I230" s="2"/>
      <x:c r="J230" s="2"/>
      <x:c r="K230" s="2"/>
    </x:row>
    <x:row r="231" ht="26" customHeight="1">
      <x:c r="C231" s="2"/>
      <x:c r="D231" s="2"/>
      <x:c r="E231" s="2"/>
      <x:c r="F231" s="2"/>
      <x:c r="G231" s="2"/>
      <x:c r="H231" s="2"/>
      <x:c r="I231" s="2"/>
      <x:c r="J231" s="2"/>
      <x:c r="K231" s="2"/>
    </x:row>
    <x:row r="232" ht="26" customHeight="1">
      <x:c r="C232" s="2"/>
      <x:c r="D232" s="2"/>
      <x:c r="E232" s="2"/>
      <x:c r="F232" s="2"/>
      <x:c r="G232" s="2"/>
      <x:c r="H232" s="2"/>
      <x:c r="I232" s="2"/>
      <x:c r="J232" s="2"/>
      <x:c r="K232" s="2"/>
    </x:row>
    <x:row r="233" ht="26" customHeight="1">
      <x:c r="C233" s="2"/>
      <x:c r="D233" s="2"/>
      <x:c r="E233" s="2"/>
      <x:c r="F233" s="2"/>
      <x:c r="G233" s="2"/>
      <x:c r="H233" s="2"/>
      <x:c r="I233" s="2"/>
      <x:c r="J233" s="2"/>
      <x:c r="K233" s="2"/>
    </x:row>
    <x:row r="234" ht="26" customHeight="1">
      <x:c r="C234" s="2"/>
      <x:c r="D234" s="2"/>
      <x:c r="E234" s="2"/>
      <x:c r="F234" s="2"/>
      <x:c r="G234" s="2"/>
      <x:c r="H234" s="2"/>
      <x:c r="I234" s="2"/>
      <x:c r="J234" s="2"/>
      <x:c r="K234" s="2"/>
    </x:row>
    <x:row r="235" ht="26" customHeight="1">
      <x:c r="C235" s="2"/>
      <x:c r="D235" s="2"/>
      <x:c r="E235" s="2"/>
      <x:c r="F235" s="2"/>
      <x:c r="G235" s="2"/>
      <x:c r="H235" s="2"/>
      <x:c r="I235" s="2"/>
      <x:c r="J235" s="2"/>
      <x:c r="K235" s="2"/>
    </x:row>
    <x:row r="236" ht="26" customHeight="1">
      <x:c r="C236" s="2"/>
      <x:c r="D236" s="2"/>
      <x:c r="E236" s="2"/>
      <x:c r="F236" s="2"/>
      <x:c r="G236" s="2"/>
      <x:c r="H236" s="2"/>
      <x:c r="I236" s="2"/>
      <x:c r="J236" s="2"/>
      <x:c r="K236" s="2"/>
    </x:row>
    <x:row r="237" ht="26" customHeight="1">
      <x:c r="C237" s="2"/>
      <x:c r="D237" s="2"/>
      <x:c r="E237" s="2"/>
      <x:c r="F237" s="2"/>
      <x:c r="G237" s="2"/>
      <x:c r="H237" s="2"/>
      <x:c r="I237" s="2"/>
      <x:c r="J237" s="2"/>
      <x:c r="K237" s="2"/>
    </x:row>
    <x:row r="238" ht="26" customHeight="1">
      <x:c r="C238" s="2"/>
      <x:c r="D238" s="2"/>
      <x:c r="E238" s="2"/>
      <x:c r="F238" s="2"/>
      <x:c r="G238" s="2"/>
      <x:c r="H238" s="2"/>
      <x:c r="I238" s="2"/>
      <x:c r="J238" s="2"/>
      <x:c r="K238" s="2"/>
    </x:row>
    <x:row r="239" ht="26" customHeight="1">
      <x:c r="C239" s="2"/>
      <x:c r="D239" s="2"/>
      <x:c r="E239" s="2"/>
      <x:c r="F239" s="2"/>
      <x:c r="G239" s="2"/>
      <x:c r="H239" s="2"/>
      <x:c r="I239" s="2"/>
      <x:c r="J239" s="2"/>
      <x:c r="K239" s="2"/>
    </x:row>
    <x:row r="240" ht="26" customHeight="1">
      <x:c r="C240" s="2"/>
      <x:c r="D240" s="2"/>
      <x:c r="E240" s="2"/>
      <x:c r="F240" s="2"/>
      <x:c r="G240" s="2"/>
      <x:c r="H240" s="2"/>
      <x:c r="I240" s="2"/>
      <x:c r="J240" s="2"/>
      <x:c r="K240" s="2"/>
    </x:row>
    <x:row r="241" ht="26" customHeight="1">
      <x:c r="C241" s="2"/>
      <x:c r="D241" s="2"/>
      <x:c r="E241" s="2"/>
      <x:c r="F241" s="2"/>
      <x:c r="G241" s="2"/>
      <x:c r="H241" s="2"/>
      <x:c r="I241" s="2"/>
      <x:c r="J241" s="2"/>
      <x:c r="K241" s="2"/>
    </x:row>
    <x:row r="242" ht="26" customHeight="1">
      <x:c r="C242" s="2"/>
      <x:c r="D242" s="2"/>
      <x:c r="E242" s="2"/>
      <x:c r="F242" s="2"/>
      <x:c r="G242" s="2"/>
      <x:c r="H242" s="2"/>
      <x:c r="I242" s="2"/>
      <x:c r="J242" s="2"/>
      <x:c r="K242" s="2"/>
    </x:row>
    <x:row r="243" ht="26" customHeight="1">
      <x:c r="C243" s="2"/>
      <x:c r="D243" s="2"/>
      <x:c r="E243" s="2"/>
      <x:c r="F243" s="2"/>
      <x:c r="G243" s="2"/>
      <x:c r="H243" s="2"/>
      <x:c r="I243" s="2"/>
      <x:c r="J243" s="2"/>
      <x:c r="K243" s="2"/>
    </x:row>
    <x:row r="244" ht="26" customHeight="1">
      <x:c r="C244" s="2"/>
      <x:c r="D244" s="2"/>
      <x:c r="E244" s="2"/>
      <x:c r="F244" s="2"/>
      <x:c r="G244" s="2"/>
      <x:c r="H244" s="2"/>
      <x:c r="I244" s="2"/>
      <x:c r="J244" s="2"/>
      <x:c r="K244" s="2"/>
    </x:row>
    <x:row r="245" ht="26" customHeight="1">
      <x:c r="C245" s="2"/>
      <x:c r="D245" s="2"/>
      <x:c r="E245" s="2"/>
      <x:c r="F245" s="2"/>
      <x:c r="G245" s="2"/>
      <x:c r="H245" s="2"/>
      <x:c r="I245" s="2"/>
      <x:c r="J245" s="2"/>
      <x:c r="K245" s="2"/>
    </x:row>
    <x:row r="246" ht="26" customHeight="1">
      <x:c r="C246" s="2"/>
      <x:c r="D246" s="2"/>
      <x:c r="E246" s="2"/>
      <x:c r="F246" s="2"/>
      <x:c r="G246" s="2"/>
      <x:c r="H246" s="2"/>
      <x:c r="I246" s="2"/>
      <x:c r="J246" s="2"/>
      <x:c r="K246" s="2"/>
    </x:row>
    <x:row r="247" ht="26" customHeight="1">
      <x:c r="C247" s="2"/>
      <x:c r="D247" s="2"/>
      <x:c r="E247" s="2"/>
      <x:c r="F247" s="2"/>
      <x:c r="G247" s="2"/>
      <x:c r="H247" s="2"/>
      <x:c r="I247" s="2"/>
      <x:c r="J247" s="2"/>
      <x:c r="K247" s="2"/>
    </x:row>
    <x:row r="248" ht="26" customHeight="1">
      <x:c r="C248" s="2"/>
      <x:c r="D248" s="2"/>
      <x:c r="E248" s="2"/>
      <x:c r="F248" s="2"/>
      <x:c r="G248" s="2"/>
      <x:c r="H248" s="2"/>
      <x:c r="I248" s="2"/>
      <x:c r="J248" s="2"/>
      <x:c r="K248" s="2"/>
    </x:row>
    <x:row r="249" ht="26" customHeight="1">
      <x:c r="C249" s="2"/>
      <x:c r="D249" s="2"/>
      <x:c r="E249" s="2"/>
      <x:c r="F249" s="2"/>
      <x:c r="G249" s="2"/>
      <x:c r="H249" s="2"/>
      <x:c r="I249" s="2"/>
      <x:c r="J249" s="2"/>
      <x:c r="K249" s="2"/>
    </x:row>
    <x:row r="250" ht="26" customHeight="1">
      <x:c r="C250" s="2"/>
      <x:c r="D250" s="2"/>
      <x:c r="E250" s="2"/>
      <x:c r="F250" s="2"/>
      <x:c r="G250" s="2"/>
      <x:c r="H250" s="2"/>
      <x:c r="I250" s="2"/>
      <x:c r="J250" s="2"/>
      <x:c r="K250" s="2"/>
    </x:row>
    <x:row r="251" ht="26" customHeight="1">
      <x:c r="C251" s="2"/>
      <x:c r="D251" s="2"/>
      <x:c r="E251" s="2"/>
      <x:c r="F251" s="2"/>
      <x:c r="G251" s="2"/>
      <x:c r="H251" s="2"/>
      <x:c r="I251" s="2"/>
      <x:c r="J251" s="2"/>
      <x:c r="K251" s="2"/>
    </x:row>
    <x:row r="252" ht="26" customHeight="1">
      <x:c r="C252" s="2"/>
      <x:c r="D252" s="2"/>
      <x:c r="E252" s="2"/>
      <x:c r="F252" s="2"/>
      <x:c r="G252" s="2"/>
      <x:c r="H252" s="2"/>
      <x:c r="I252" s="2"/>
      <x:c r="J252" s="2"/>
      <x:c r="K252" s="2"/>
    </x:row>
    <x:row r="253" ht="26" customHeight="1">
      <x:c r="C253" s="2"/>
      <x:c r="D253" s="2"/>
      <x:c r="E253" s="2"/>
      <x:c r="F253" s="2"/>
      <x:c r="G253" s="2"/>
      <x:c r="H253" s="2"/>
      <x:c r="I253" s="2"/>
      <x:c r="J253" s="2"/>
      <x:c r="K253" s="2"/>
    </x:row>
    <x:row r="254" ht="26" customHeight="1">
      <x:c r="C254" s="2"/>
      <x:c r="D254" s="2"/>
      <x:c r="E254" s="2"/>
      <x:c r="F254" s="2"/>
      <x:c r="G254" s="2"/>
      <x:c r="H254" s="2"/>
      <x:c r="I254" s="2"/>
      <x:c r="J254" s="2"/>
      <x:c r="K254" s="2"/>
    </x:row>
    <x:row r="255" ht="26" customHeight="1">
      <x:c r="C255" s="2"/>
      <x:c r="D255" s="2"/>
      <x:c r="E255" s="2"/>
      <x:c r="F255" s="2"/>
      <x:c r="G255" s="2"/>
      <x:c r="H255" s="2"/>
      <x:c r="I255" s="2"/>
      <x:c r="J255" s="2"/>
      <x:c r="K255" s="2"/>
    </x:row>
    <x:row r="256" ht="26" customHeight="1">
      <x:c r="C256" s="2"/>
      <x:c r="D256" s="2"/>
      <x:c r="E256" s="2"/>
      <x:c r="F256" s="2"/>
      <x:c r="G256" s="2"/>
      <x:c r="H256" s="2"/>
      <x:c r="I256" s="2"/>
      <x:c r="J256" s="2"/>
      <x:c r="K256" s="2"/>
    </x:row>
    <x:row r="257" ht="26" customHeight="1">
      <x:c r="C257" s="2"/>
      <x:c r="D257" s="2"/>
      <x:c r="E257" s="2"/>
      <x:c r="F257" s="2"/>
      <x:c r="G257" s="2"/>
      <x:c r="H257" s="2"/>
      <x:c r="I257" s="2"/>
      <x:c r="J257" s="2"/>
      <x:c r="K257" s="2"/>
    </x:row>
    <x:row r="258" ht="26" customHeight="1">
      <x:c r="C258" s="2"/>
      <x:c r="D258" s="2"/>
      <x:c r="E258" s="2"/>
      <x:c r="F258" s="2"/>
      <x:c r="G258" s="2"/>
      <x:c r="H258" s="2"/>
      <x:c r="I258" s="2"/>
      <x:c r="J258" s="2"/>
      <x:c r="K258" s="2"/>
    </x:row>
    <x:row r="259" ht="26" customHeight="1">
      <x:c r="C259" s="2"/>
      <x:c r="D259" s="2"/>
      <x:c r="E259" s="2"/>
      <x:c r="F259" s="2"/>
      <x:c r="G259" s="2"/>
      <x:c r="H259" s="2"/>
      <x:c r="I259" s="2"/>
      <x:c r="J259" s="2"/>
      <x:c r="K259" s="2"/>
    </x:row>
    <x:row r="260" ht="26" customHeight="1">
      <x:c r="C260" s="2"/>
      <x:c r="D260" s="2"/>
      <x:c r="E260" s="2"/>
      <x:c r="F260" s="2"/>
      <x:c r="G260" s="2"/>
      <x:c r="H260" s="2"/>
      <x:c r="I260" s="2"/>
      <x:c r="J260" s="2"/>
      <x:c r="K260" s="2"/>
    </x:row>
    <x:row r="261" ht="26" customHeight="1">
      <x:c r="C261" s="2"/>
      <x:c r="D261" s="2"/>
      <x:c r="E261" s="2"/>
      <x:c r="F261" s="2"/>
      <x:c r="G261" s="2"/>
      <x:c r="H261" s="2"/>
      <x:c r="I261" s="2"/>
      <x:c r="J261" s="2"/>
      <x:c r="K261" s="2"/>
    </x:row>
    <x:row r="262" ht="26" customHeight="1">
      <x:c r="C262" s="2"/>
      <x:c r="D262" s="2"/>
      <x:c r="E262" s="2"/>
      <x:c r="F262" s="2"/>
      <x:c r="G262" s="2"/>
      <x:c r="H262" s="2"/>
      <x:c r="I262" s="2"/>
      <x:c r="J262" s="2"/>
      <x:c r="K262" s="2"/>
    </x:row>
    <x:row r="263" ht="26" customHeight="1">
      <x:c r="C263" s="2"/>
      <x:c r="D263" s="2"/>
      <x:c r="E263" s="2"/>
      <x:c r="F263" s="2"/>
      <x:c r="G263" s="2"/>
      <x:c r="H263" s="2"/>
      <x:c r="I263" s="2"/>
      <x:c r="J263" s="2"/>
      <x:c r="K263" s="2"/>
    </x:row>
    <x:row r="264" ht="26" customHeight="1">
      <x:c r="C264" s="2"/>
      <x:c r="D264" s="2"/>
      <x:c r="E264" s="2"/>
      <x:c r="F264" s="2"/>
      <x:c r="G264" s="2"/>
      <x:c r="H264" s="2"/>
      <x:c r="I264" s="2"/>
      <x:c r="J264" s="2"/>
      <x:c r="K264" s="2"/>
    </x:row>
    <x:row r="265" ht="26" customHeight="1">
      <x:c r="C265" s="2"/>
      <x:c r="D265" s="2"/>
      <x:c r="E265" s="2"/>
      <x:c r="F265" s="2"/>
      <x:c r="G265" s="2"/>
      <x:c r="H265" s="2"/>
      <x:c r="I265" s="2"/>
      <x:c r="J265" s="2"/>
      <x:c r="K265" s="2"/>
    </x:row>
    <x:row r="266" ht="26" customHeight="1">
      <x:c r="C266" s="2"/>
      <x:c r="D266" s="2"/>
      <x:c r="E266" s="2"/>
      <x:c r="F266" s="2"/>
      <x:c r="G266" s="2"/>
      <x:c r="H266" s="2"/>
      <x:c r="I266" s="2"/>
      <x:c r="J266" s="2"/>
      <x:c r="K266" s="2"/>
    </x:row>
    <x:row r="267" ht="26" customHeight="1">
      <x:c r="C267" s="2"/>
      <x:c r="D267" s="2"/>
      <x:c r="E267" s="2"/>
      <x:c r="F267" s="2"/>
      <x:c r="G267" s="2"/>
      <x:c r="H267" s="2"/>
      <x:c r="I267" s="2"/>
      <x:c r="J267" s="2"/>
      <x:c r="K267" s="2"/>
    </x:row>
    <x:row r="268" ht="26" customHeight="1">
      <x:c r="C268" s="2"/>
      <x:c r="D268" s="2"/>
      <x:c r="E268" s="2"/>
      <x:c r="F268" s="2"/>
      <x:c r="G268" s="2"/>
      <x:c r="H268" s="2"/>
      <x:c r="I268" s="2"/>
      <x:c r="J268" s="2"/>
      <x:c r="K268" s="2"/>
    </x:row>
    <x:row r="269" ht="26" customHeight="1">
      <x:c r="C269" s="2"/>
      <x:c r="D269" s="2"/>
      <x:c r="E269" s="2"/>
      <x:c r="F269" s="2"/>
      <x:c r="G269" s="2"/>
      <x:c r="H269" s="2"/>
      <x:c r="I269" s="2"/>
      <x:c r="J269" s="2"/>
      <x:c r="K269" s="2"/>
    </x:row>
    <x:row r="270" ht="26" customHeight="1">
      <x:c r="C270" s="2"/>
      <x:c r="D270" s="2"/>
      <x:c r="E270" s="2"/>
      <x:c r="F270" s="2"/>
      <x:c r="G270" s="2"/>
      <x:c r="H270" s="2"/>
      <x:c r="I270" s="2"/>
      <x:c r="J270" s="2"/>
      <x:c r="K270" s="2"/>
    </x:row>
    <x:row r="271" ht="26" customHeight="1">
      <x:c r="C271" s="2"/>
      <x:c r="D271" s="2"/>
      <x:c r="E271" s="2"/>
      <x:c r="F271" s="2"/>
      <x:c r="G271" s="2"/>
      <x:c r="H271" s="2"/>
      <x:c r="I271" s="2"/>
      <x:c r="J271" s="2"/>
      <x:c r="K271" s="2"/>
    </x:row>
    <x:row r="272" ht="26" customHeight="1">
      <x:c r="C272" s="2"/>
      <x:c r="D272" s="2"/>
      <x:c r="E272" s="2"/>
      <x:c r="F272" s="2"/>
      <x:c r="G272" s="2"/>
      <x:c r="H272" s="2"/>
      <x:c r="I272" s="2"/>
      <x:c r="J272" s="2"/>
      <x:c r="K272" s="2"/>
    </x:row>
    <x:row r="273" ht="26" customHeight="1">
      <x:c r="C273" s="2"/>
      <x:c r="D273" s="2"/>
      <x:c r="E273" s="2"/>
      <x:c r="F273" s="2"/>
      <x:c r="G273" s="2"/>
      <x:c r="H273" s="2"/>
      <x:c r="I273" s="2"/>
      <x:c r="J273" s="2"/>
      <x:c r="K273" s="2"/>
    </x:row>
    <x:row r="274" ht="26" customHeight="1">
      <x:c r="C274" s="2"/>
      <x:c r="D274" s="2"/>
      <x:c r="E274" s="2"/>
      <x:c r="F274" s="2"/>
      <x:c r="G274" s="2"/>
      <x:c r="H274" s="2"/>
      <x:c r="I274" s="2"/>
      <x:c r="J274" s="2"/>
      <x:c r="K274" s="2"/>
    </x:row>
    <x:row r="275" ht="26" customHeight="1">
      <x:c r="C275" s="2"/>
      <x:c r="D275" s="2"/>
      <x:c r="E275" s="2"/>
      <x:c r="F275" s="2"/>
      <x:c r="G275" s="2"/>
      <x:c r="H275" s="2"/>
      <x:c r="I275" s="2"/>
      <x:c r="J275" s="2"/>
      <x:c r="K275" s="2"/>
    </x:row>
    <x:row r="276" ht="26" customHeight="1">
      <x:c r="C276" s="2"/>
      <x:c r="D276" s="2"/>
      <x:c r="E276" s="2"/>
      <x:c r="F276" s="2"/>
      <x:c r="G276" s="2"/>
      <x:c r="H276" s="2"/>
      <x:c r="I276" s="2"/>
      <x:c r="J276" s="2"/>
      <x:c r="K276" s="2"/>
    </x:row>
    <x:row r="277" ht="26" customHeight="1">
      <x:c r="C277" s="2"/>
      <x:c r="D277" s="2"/>
      <x:c r="E277" s="2"/>
      <x:c r="F277" s="2"/>
      <x:c r="G277" s="2"/>
      <x:c r="H277" s="2"/>
      <x:c r="I277" s="2"/>
      <x:c r="J277" s="2"/>
      <x:c r="K277" s="2"/>
    </x:row>
    <x:row r="278" ht="26" customHeight="1">
      <x:c r="C278" s="2"/>
      <x:c r="D278" s="2"/>
      <x:c r="E278" s="2"/>
      <x:c r="F278" s="2"/>
      <x:c r="G278" s="2"/>
      <x:c r="H278" s="2"/>
      <x:c r="I278" s="2"/>
      <x:c r="J278" s="2"/>
      <x:c r="K278" s="2"/>
    </x:row>
    <x:row r="279" ht="26" customHeight="1">
      <x:c r="C279" s="2"/>
      <x:c r="D279" s="2"/>
      <x:c r="E279" s="2"/>
      <x:c r="F279" s="2"/>
      <x:c r="G279" s="2"/>
      <x:c r="H279" s="2"/>
      <x:c r="I279" s="2"/>
      <x:c r="J279" s="2"/>
      <x:c r="K279" s="2"/>
    </x:row>
    <x:row r="280" ht="26" customHeight="1">
      <x:c r="C280" s="2"/>
      <x:c r="D280" s="2"/>
      <x:c r="E280" s="2"/>
      <x:c r="F280" s="2"/>
      <x:c r="G280" s="2"/>
      <x:c r="H280" s="2"/>
      <x:c r="I280" s="2"/>
      <x:c r="J280" s="2"/>
      <x:c r="K280" s="2"/>
    </x:row>
    <x:row r="281" ht="26" customHeight="1">
      <x:c r="C281" s="2"/>
      <x:c r="D281" s="2"/>
      <x:c r="E281" s="2"/>
      <x:c r="F281" s="2"/>
      <x:c r="G281" s="2"/>
      <x:c r="H281" s="2"/>
      <x:c r="I281" s="2"/>
      <x:c r="J281" s="2"/>
      <x:c r="K281" s="2"/>
    </x:row>
    <x:row r="282" ht="26" customHeight="1">
      <x:c r="C282" s="2"/>
      <x:c r="D282" s="2"/>
      <x:c r="E282" s="2"/>
      <x:c r="F282" s="2"/>
      <x:c r="G282" s="2"/>
      <x:c r="H282" s="2"/>
      <x:c r="I282" s="2"/>
      <x:c r="J282" s="2"/>
      <x:c r="K282" s="2"/>
    </x:row>
    <x:row r="283" ht="26" customHeight="1">
      <x:c r="C283" s="2"/>
      <x:c r="D283" s="2"/>
      <x:c r="E283" s="2"/>
      <x:c r="F283" s="2"/>
      <x:c r="G283" s="2"/>
      <x:c r="H283" s="2"/>
      <x:c r="I283" s="2"/>
      <x:c r="J283" s="2"/>
      <x:c r="K283" s="2"/>
    </x:row>
    <x:row r="284" ht="26" customHeight="1">
      <x:c r="C284" s="2"/>
      <x:c r="D284" s="2"/>
      <x:c r="E284" s="2"/>
      <x:c r="F284" s="2"/>
      <x:c r="G284" s="2"/>
      <x:c r="H284" s="2"/>
      <x:c r="I284" s="2"/>
      <x:c r="J284" s="2"/>
      <x:c r="K284" s="2"/>
    </x:row>
    <x:row r="285" ht="26" customHeight="1">
      <x:c r="C285" s="2"/>
      <x:c r="D285" s="2"/>
      <x:c r="E285" s="2"/>
      <x:c r="F285" s="2"/>
      <x:c r="G285" s="2"/>
      <x:c r="H285" s="2"/>
      <x:c r="I285" s="2"/>
      <x:c r="J285" s="2"/>
      <x:c r="K285" s="2"/>
    </x:row>
    <x:row r="286" ht="26" customHeight="1">
      <x:c r="C286" s="2"/>
      <x:c r="D286" s="2"/>
      <x:c r="E286" s="2"/>
      <x:c r="F286" s="2"/>
      <x:c r="G286" s="2"/>
      <x:c r="H286" s="2"/>
      <x:c r="I286" s="2"/>
      <x:c r="J286" s="2"/>
      <x:c r="K286" s="2"/>
    </x:row>
    <x:row r="287" ht="26" customHeight="1">
      <x:c r="C287" s="2"/>
      <x:c r="D287" s="2"/>
      <x:c r="E287" s="2"/>
      <x:c r="F287" s="2"/>
      <x:c r="G287" s="2"/>
      <x:c r="H287" s="2"/>
      <x:c r="I287" s="2"/>
      <x:c r="J287" s="2"/>
      <x:c r="K287" s="2"/>
    </x:row>
    <x:row r="288" ht="26" customHeight="1">
      <x:c r="C288" s="2"/>
      <x:c r="D288" s="2"/>
      <x:c r="E288" s="2"/>
      <x:c r="F288" s="2"/>
      <x:c r="G288" s="2"/>
      <x:c r="H288" s="2"/>
      <x:c r="I288" s="2"/>
      <x:c r="J288" s="2"/>
      <x:c r="K288" s="2"/>
    </x:row>
    <x:row r="289" ht="26" customHeight="1">
      <x:c r="C289" s="2"/>
      <x:c r="D289" s="2"/>
      <x:c r="E289" s="2"/>
      <x:c r="F289" s="2"/>
      <x:c r="G289" s="2"/>
      <x:c r="H289" s="2"/>
      <x:c r="I289" s="2"/>
      <x:c r="J289" s="2"/>
      <x:c r="K289" s="2"/>
    </x:row>
    <x:row r="290" ht="26" customHeight="1">
      <x:c r="C290" s="2"/>
      <x:c r="D290" s="2"/>
      <x:c r="E290" s="2"/>
      <x:c r="F290" s="2"/>
      <x:c r="G290" s="2"/>
      <x:c r="H290" s="2"/>
      <x:c r="I290" s="2"/>
      <x:c r="J290" s="2"/>
      <x:c r="K290" s="2"/>
    </x:row>
    <x:row r="291" ht="26" customHeight="1">
      <x:c r="C291" s="2"/>
      <x:c r="D291" s="2"/>
      <x:c r="E291" s="2"/>
      <x:c r="F291" s="2"/>
      <x:c r="G291" s="2"/>
      <x:c r="H291" s="2"/>
      <x:c r="I291" s="2"/>
      <x:c r="J291" s="2"/>
      <x:c r="K291" s="2"/>
    </x:row>
    <x:row r="292" ht="26" customHeight="1">
      <x:c r="C292" s="2"/>
      <x:c r="D292" s="2"/>
      <x:c r="E292" s="2"/>
      <x:c r="F292" s="2"/>
      <x:c r="G292" s="2"/>
      <x:c r="H292" s="2"/>
      <x:c r="I292" s="2"/>
      <x:c r="J292" s="2"/>
      <x:c r="K292" s="2"/>
    </x:row>
    <x:row r="293" ht="26" customHeight="1">
      <x:c r="C293" s="2"/>
      <x:c r="D293" s="2"/>
      <x:c r="E293" s="2"/>
      <x:c r="F293" s="2"/>
      <x:c r="G293" s="2"/>
      <x:c r="H293" s="2"/>
      <x:c r="I293" s="2"/>
      <x:c r="J293" s="2"/>
      <x:c r="K293" s="2"/>
    </x:row>
    <x:row r="294" ht="26" customHeight="1">
      <x:c r="C294" s="2"/>
      <x:c r="D294" s="2"/>
      <x:c r="E294" s="2"/>
      <x:c r="F294" s="2"/>
      <x:c r="G294" s="2"/>
      <x:c r="H294" s="2"/>
      <x:c r="I294" s="2"/>
      <x:c r="J294" s="2"/>
      <x:c r="K294" s="2"/>
    </x:row>
    <x:row r="295" ht="26" customHeight="1">
      <x:c r="C295" s="2"/>
      <x:c r="D295" s="2"/>
      <x:c r="E295" s="2"/>
      <x:c r="F295" s="2"/>
      <x:c r="G295" s="2"/>
      <x:c r="H295" s="2"/>
      <x:c r="I295" s="2"/>
      <x:c r="J295" s="2"/>
      <x:c r="K295" s="2"/>
    </x:row>
    <x:row r="296" ht="26" customHeight="1">
      <x:c r="C296" s="2"/>
      <x:c r="D296" s="2"/>
      <x:c r="E296" s="2"/>
      <x:c r="F296" s="2"/>
      <x:c r="G296" s="2"/>
      <x:c r="H296" s="2"/>
      <x:c r="I296" s="2"/>
      <x:c r="J296" s="2"/>
      <x:c r="K296" s="2"/>
    </x:row>
    <x:row r="297" ht="26" customHeight="1">
      <x:c r="C297" s="2"/>
      <x:c r="D297" s="2"/>
      <x:c r="E297" s="2"/>
      <x:c r="F297" s="2"/>
      <x:c r="G297" s="2"/>
      <x:c r="H297" s="2"/>
      <x:c r="I297" s="2"/>
      <x:c r="J297" s="2"/>
      <x:c r="K297" s="2"/>
    </x:row>
    <x:row r="298" ht="26" customHeight="1">
      <x:c r="C298" s="2"/>
      <x:c r="D298" s="2"/>
      <x:c r="E298" s="2"/>
      <x:c r="F298" s="2"/>
      <x:c r="G298" s="2"/>
      <x:c r="H298" s="2"/>
      <x:c r="I298" s="2"/>
      <x:c r="J298" s="2"/>
      <x:c r="K298" s="2"/>
    </x:row>
    <x:row r="299" ht="26" customHeight="1">
      <x:c r="C299" s="2"/>
      <x:c r="D299" s="2"/>
      <x:c r="E299" s="2"/>
      <x:c r="F299" s="2"/>
      <x:c r="G299" s="2"/>
      <x:c r="H299" s="2"/>
      <x:c r="I299" s="2"/>
      <x:c r="J299" s="2"/>
      <x:c r="K299" s="2"/>
    </x:row>
    <x:row r="300" ht="26" customHeight="1">
      <x:c r="C300" s="2"/>
      <x:c r="D300" s="2"/>
      <x:c r="E300" s="2"/>
      <x:c r="F300" s="2"/>
      <x:c r="G300" s="2"/>
      <x:c r="H300" s="2"/>
      <x:c r="I300" s="2"/>
      <x:c r="J300" s="2"/>
      <x:c r="K300" s="2"/>
    </x:row>
    <x:row r="301" ht="26" customHeight="1">
      <x:c r="C301" s="2"/>
      <x:c r="D301" s="2"/>
      <x:c r="E301" s="2"/>
      <x:c r="F301" s="2"/>
      <x:c r="G301" s="2"/>
      <x:c r="H301" s="2"/>
      <x:c r="I301" s="2"/>
      <x:c r="J301" s="2"/>
      <x:c r="K301" s="2"/>
    </x:row>
    <x:row r="302" ht="26" customHeight="1">
      <x:c r="C302" s="2"/>
      <x:c r="D302" s="2"/>
      <x:c r="E302" s="2"/>
      <x:c r="F302" s="2"/>
      <x:c r="G302" s="2"/>
      <x:c r="H302" s="2"/>
      <x:c r="I302" s="2"/>
      <x:c r="J302" s="2"/>
      <x:c r="K302" s="2"/>
    </x:row>
    <x:row r="303" ht="26" customHeight="1">
      <x:c r="C303" s="2"/>
      <x:c r="D303" s="2"/>
      <x:c r="E303" s="2"/>
      <x:c r="F303" s="2"/>
      <x:c r="G303" s="2"/>
      <x:c r="H303" s="2"/>
      <x:c r="I303" s="2"/>
      <x:c r="J303" s="2"/>
      <x:c r="K303" s="2"/>
    </x:row>
    <x:row r="304" ht="26" customHeight="1">
      <x:c r="C304" s="2"/>
      <x:c r="D304" s="2"/>
      <x:c r="E304" s="2"/>
      <x:c r="F304" s="2"/>
      <x:c r="G304" s="2"/>
      <x:c r="H304" s="2"/>
      <x:c r="I304" s="2"/>
      <x:c r="J304" s="2"/>
      <x:c r="K304" s="2"/>
    </x:row>
    <x:row r="305" ht="26" customHeight="1">
      <x:c r="C305" s="2"/>
      <x:c r="D305" s="2"/>
      <x:c r="E305" s="2"/>
      <x:c r="F305" s="2"/>
      <x:c r="G305" s="2"/>
      <x:c r="H305" s="2"/>
      <x:c r="I305" s="2"/>
      <x:c r="J305" s="2"/>
      <x:c r="K305" s="2"/>
    </x:row>
    <x:row r="306" ht="26" customHeight="1">
      <x:c r="C306" s="2"/>
      <x:c r="D306" s="2"/>
      <x:c r="E306" s="2"/>
      <x:c r="F306" s="2"/>
      <x:c r="G306" s="2"/>
      <x:c r="H306" s="2"/>
      <x:c r="I306" s="2"/>
      <x:c r="J306" s="2"/>
      <x:c r="K306" s="2"/>
    </x:row>
    <x:row r="307" ht="26" customHeight="1">
      <x:c r="C307" s="2"/>
      <x:c r="D307" s="2"/>
      <x:c r="E307" s="2"/>
      <x:c r="F307" s="2"/>
      <x:c r="G307" s="2"/>
      <x:c r="H307" s="2"/>
      <x:c r="I307" s="2"/>
      <x:c r="J307" s="2"/>
      <x:c r="K307" s="2"/>
    </x:row>
    <x:row r="308" ht="26" customHeight="1">
      <x:c r="C308" s="2"/>
      <x:c r="D308" s="2"/>
      <x:c r="E308" s="2"/>
      <x:c r="F308" s="2"/>
      <x:c r="G308" s="2"/>
      <x:c r="H308" s="2"/>
      <x:c r="I308" s="2"/>
      <x:c r="J308" s="2"/>
      <x:c r="K308" s="2"/>
    </x:row>
    <x:row r="309" ht="26" customHeight="1">
      <x:c r="C309" s="2"/>
      <x:c r="D309" s="2"/>
      <x:c r="E309" s="2"/>
      <x:c r="F309" s="2"/>
      <x:c r="G309" s="2"/>
      <x:c r="H309" s="2"/>
      <x:c r="I309" s="2"/>
      <x:c r="J309" s="2"/>
      <x:c r="K309" s="2"/>
    </x:row>
    <x:row r="310" ht="26" customHeight="1">
      <x:c r="C310" s="2"/>
      <x:c r="D310" s="2"/>
      <x:c r="E310" s="2"/>
      <x:c r="F310" s="2"/>
      <x:c r="G310" s="2"/>
      <x:c r="H310" s="2"/>
      <x:c r="I310" s="2"/>
      <x:c r="J310" s="2"/>
      <x:c r="K310" s="2"/>
    </x:row>
    <x:row r="311" ht="26" customHeight="1">
      <x:c r="C311" s="2"/>
      <x:c r="D311" s="2"/>
      <x:c r="E311" s="2"/>
      <x:c r="F311" s="2"/>
      <x:c r="G311" s="2"/>
      <x:c r="H311" s="2"/>
      <x:c r="I311" s="2"/>
      <x:c r="J311" s="2"/>
      <x:c r="K311" s="2"/>
    </x:row>
    <x:row r="312" ht="26" customHeight="1">
      <x:c r="C312" s="2"/>
      <x:c r="D312" s="2"/>
      <x:c r="E312" s="2"/>
      <x:c r="F312" s="2"/>
      <x:c r="G312" s="2"/>
      <x:c r="H312" s="2"/>
      <x:c r="I312" s="2"/>
      <x:c r="J312" s="2"/>
      <x:c r="K312" s="2"/>
    </x:row>
    <x:row r="313" ht="26" customHeight="1">
      <x:c r="C313" s="2"/>
      <x:c r="D313" s="2"/>
      <x:c r="E313" s="2"/>
      <x:c r="F313" s="2"/>
      <x:c r="G313" s="2"/>
      <x:c r="H313" s="2"/>
      <x:c r="I313" s="2"/>
      <x:c r="J313" s="2"/>
      <x:c r="K313" s="2"/>
    </x:row>
    <x:row r="314" ht="26" customHeight="1">
      <x:c r="C314" s="2"/>
      <x:c r="D314" s="2"/>
      <x:c r="E314" s="2"/>
      <x:c r="F314" s="2"/>
      <x:c r="G314" s="2"/>
      <x:c r="H314" s="2"/>
      <x:c r="I314" s="2"/>
      <x:c r="J314" s="2"/>
      <x:c r="K314" s="2"/>
    </x:row>
    <x:row r="315" ht="26" customHeight="1">
      <x:c r="C315" s="2"/>
      <x:c r="D315" s="2"/>
      <x:c r="E315" s="2"/>
      <x:c r="F315" s="2"/>
      <x:c r="G315" s="2"/>
      <x:c r="H315" s="2"/>
      <x:c r="I315" s="2"/>
      <x:c r="J315" s="2"/>
      <x:c r="K315" s="2"/>
    </x:row>
    <x:row r="316" ht="26" customHeight="1">
      <x:c r="C316" s="2"/>
      <x:c r="D316" s="2"/>
      <x:c r="E316" s="2"/>
      <x:c r="F316" s="2"/>
      <x:c r="G316" s="2"/>
      <x:c r="H316" s="2"/>
      <x:c r="I316" s="2"/>
      <x:c r="J316" s="2"/>
      <x:c r="K316" s="2"/>
    </x:row>
    <x:row r="317" ht="26" customHeight="1">
      <x:c r="C317" s="2"/>
      <x:c r="D317" s="2"/>
      <x:c r="E317" s="2"/>
      <x:c r="F317" s="2"/>
      <x:c r="G317" s="2"/>
      <x:c r="H317" s="2"/>
      <x:c r="I317" s="2"/>
      <x:c r="J317" s="2"/>
      <x:c r="K317" s="2"/>
    </x:row>
    <x:row r="318" ht="26" customHeight="1">
      <x:c r="C318" s="2"/>
      <x:c r="D318" s="2"/>
      <x:c r="E318" s="2"/>
      <x:c r="F318" s="2"/>
      <x:c r="G318" s="2"/>
      <x:c r="H318" s="2"/>
      <x:c r="I318" s="2"/>
      <x:c r="J318" s="2"/>
      <x:c r="K318" s="2"/>
    </x:row>
    <x:row r="319" ht="26" customHeight="1">
      <x:c r="C319" s="2"/>
      <x:c r="D319" s="2"/>
      <x:c r="E319" s="2"/>
      <x:c r="F319" s="2"/>
      <x:c r="G319" s="2"/>
      <x:c r="H319" s="2"/>
      <x:c r="I319" s="2"/>
      <x:c r="J319" s="2"/>
      <x:c r="K319" s="2"/>
    </x:row>
    <x:row r="320" ht="26" customHeight="1">
      <x:c r="C320" s="2"/>
      <x:c r="D320" s="2"/>
      <x:c r="E320" s="2"/>
      <x:c r="F320" s="2"/>
      <x:c r="G320" s="2"/>
      <x:c r="H320" s="2"/>
      <x:c r="I320" s="2"/>
      <x:c r="J320" s="2"/>
      <x:c r="K320" s="2"/>
    </x:row>
    <x:row r="321" ht="26" customHeight="1">
      <x:c r="C321" s="2"/>
      <x:c r="D321" s="2"/>
      <x:c r="E321" s="2"/>
      <x:c r="F321" s="2"/>
      <x:c r="G321" s="2"/>
      <x:c r="H321" s="2"/>
      <x:c r="I321" s="2"/>
      <x:c r="J321" s="2"/>
      <x:c r="K321" s="2"/>
    </x:row>
    <x:row r="322" ht="26" customHeight="1">
      <x:c r="C322" s="2"/>
      <x:c r="D322" s="2"/>
      <x:c r="E322" s="2"/>
      <x:c r="F322" s="2"/>
      <x:c r="G322" s="2"/>
      <x:c r="H322" s="2"/>
      <x:c r="I322" s="2"/>
      <x:c r="J322" s="2"/>
      <x:c r="K322" s="2"/>
    </x:row>
    <x:row r="323" ht="26" customHeight="1">
      <x:c r="C323" s="2"/>
      <x:c r="D323" s="2"/>
      <x:c r="E323" s="2"/>
      <x:c r="F323" s="2"/>
      <x:c r="G323" s="2"/>
      <x:c r="H323" s="2"/>
      <x:c r="I323" s="2"/>
      <x:c r="J323" s="2"/>
      <x:c r="K323" s="2"/>
    </x:row>
    <x:row r="324" ht="26" customHeight="1">
      <x:c r="C324" s="2"/>
      <x:c r="D324" s="2"/>
      <x:c r="E324" s="2"/>
      <x:c r="F324" s="2"/>
      <x:c r="G324" s="2"/>
      <x:c r="H324" s="2"/>
      <x:c r="I324" s="2"/>
      <x:c r="J324" s="2"/>
      <x:c r="K324" s="2"/>
    </x:row>
    <x:row r="325" ht="26" customHeight="1">
      <x:c r="C325" s="2"/>
      <x:c r="D325" s="2"/>
      <x:c r="E325" s="2"/>
      <x:c r="F325" s="2"/>
      <x:c r="G325" s="2"/>
      <x:c r="H325" s="2"/>
      <x:c r="I325" s="2"/>
      <x:c r="J325" s="2"/>
      <x:c r="K325" s="2"/>
    </x:row>
    <x:row r="326" ht="26" customHeight="1">
      <x:c r="C326" s="2"/>
      <x:c r="D326" s="2"/>
      <x:c r="E326" s="2"/>
      <x:c r="F326" s="2"/>
      <x:c r="G326" s="2"/>
      <x:c r="H326" s="2"/>
      <x:c r="I326" s="2"/>
      <x:c r="J326" s="2"/>
      <x:c r="K326" s="2"/>
    </x:row>
    <x:row r="327" ht="26" customHeight="1">
      <x:c r="C327" s="2"/>
      <x:c r="D327" s="2"/>
      <x:c r="E327" s="2"/>
      <x:c r="F327" s="2"/>
      <x:c r="G327" s="2"/>
      <x:c r="H327" s="2"/>
      <x:c r="I327" s="2"/>
      <x:c r="J327" s="2"/>
      <x:c r="K327" s="2"/>
    </x:row>
    <x:row r="328" ht="26" customHeight="1">
      <x:c r="C328" s="2"/>
      <x:c r="D328" s="2"/>
      <x:c r="E328" s="2"/>
      <x:c r="F328" s="2"/>
      <x:c r="G328" s="2"/>
      <x:c r="H328" s="2"/>
      <x:c r="I328" s="2"/>
      <x:c r="J328" s="2"/>
      <x:c r="K328" s="2"/>
    </x:row>
    <x:row r="329" ht="26" customHeight="1">
      <x:c r="C329" s="2"/>
      <x:c r="D329" s="2"/>
      <x:c r="E329" s="2"/>
      <x:c r="F329" s="2"/>
      <x:c r="G329" s="2"/>
      <x:c r="H329" s="2"/>
      <x:c r="I329" s="2"/>
      <x:c r="J329" s="2"/>
      <x:c r="K329" s="2"/>
    </x:row>
    <x:row r="330" ht="26" customHeight="1">
      <x:c r="C330" s="2"/>
      <x:c r="D330" s="2"/>
      <x:c r="E330" s="2"/>
      <x:c r="F330" s="2"/>
      <x:c r="G330" s="2"/>
      <x:c r="H330" s="2"/>
      <x:c r="I330" s="2"/>
      <x:c r="J330" s="2"/>
      <x:c r="K330" s="2"/>
    </x:row>
    <x:row r="331" ht="26" customHeight="1">
      <x:c r="C331" s="2"/>
      <x:c r="D331" s="2"/>
      <x:c r="E331" s="2"/>
      <x:c r="F331" s="2"/>
      <x:c r="G331" s="2"/>
      <x:c r="H331" s="2"/>
      <x:c r="I331" s="2"/>
      <x:c r="J331" s="2"/>
      <x:c r="K331" s="2"/>
    </x:row>
    <x:row r="332" ht="26" customHeight="1">
      <x:c r="C332" s="2"/>
      <x:c r="D332" s="2"/>
      <x:c r="E332" s="2"/>
      <x:c r="F332" s="2"/>
      <x:c r="G332" s="2"/>
      <x:c r="H332" s="2"/>
      <x:c r="I332" s="2"/>
      <x:c r="J332" s="2"/>
      <x:c r="K332" s="2"/>
    </x:row>
    <x:row r="333" ht="26" customHeight="1">
      <x:c r="C333" s="2"/>
      <x:c r="D333" s="2"/>
      <x:c r="E333" s="2"/>
      <x:c r="F333" s="2"/>
      <x:c r="G333" s="2"/>
      <x:c r="H333" s="2"/>
      <x:c r="I333" s="2"/>
      <x:c r="J333" s="2"/>
      <x:c r="K333" s="2"/>
    </x:row>
    <x:row r="334" ht="26" customHeight="1">
      <x:c r="C334" s="2"/>
      <x:c r="D334" s="2"/>
      <x:c r="E334" s="2"/>
      <x:c r="F334" s="2"/>
      <x:c r="G334" s="2"/>
      <x:c r="H334" s="2"/>
      <x:c r="I334" s="2"/>
      <x:c r="J334" s="2"/>
      <x:c r="K334" s="2"/>
    </x:row>
    <x:row r="335" ht="26" customHeight="1">
      <x:c r="C335" s="2"/>
      <x:c r="D335" s="2"/>
      <x:c r="E335" s="2"/>
      <x:c r="F335" s="2"/>
      <x:c r="G335" s="2"/>
      <x:c r="H335" s="2"/>
      <x:c r="I335" s="2"/>
      <x:c r="J335" s="2"/>
      <x:c r="K335" s="2"/>
    </x:row>
    <x:row r="336" ht="26" customHeight="1">
      <x:c r="C336" s="2"/>
      <x:c r="D336" s="2"/>
      <x:c r="E336" s="2"/>
      <x:c r="F336" s="2"/>
      <x:c r="G336" s="2"/>
      <x:c r="H336" s="2"/>
      <x:c r="I336" s="2"/>
      <x:c r="J336" s="2"/>
      <x:c r="K336" s="2"/>
    </x:row>
    <x:row r="337" ht="26" customHeight="1">
      <x:c r="C337" s="2"/>
      <x:c r="D337" s="2"/>
      <x:c r="E337" s="2"/>
      <x:c r="F337" s="2"/>
      <x:c r="G337" s="2"/>
      <x:c r="H337" s="2"/>
      <x:c r="I337" s="2"/>
      <x:c r="J337" s="2"/>
      <x:c r="K337" s="2"/>
    </x:row>
    <x:row r="338" ht="26" customHeight="1">
      <x:c r="C338" s="2"/>
      <x:c r="D338" s="2"/>
      <x:c r="E338" s="2"/>
      <x:c r="F338" s="2"/>
      <x:c r="G338" s="2"/>
      <x:c r="H338" s="2"/>
      <x:c r="I338" s="2"/>
      <x:c r="J338" s="2"/>
      <x:c r="K338" s="2"/>
    </x:row>
    <x:row r="339" ht="26" customHeight="1">
      <x:c r="C339" s="2"/>
      <x:c r="D339" s="2"/>
      <x:c r="E339" s="2"/>
      <x:c r="F339" s="2"/>
      <x:c r="G339" s="2"/>
      <x:c r="H339" s="2"/>
      <x:c r="I339" s="2"/>
      <x:c r="J339" s="2"/>
      <x:c r="K339" s="2"/>
    </x:row>
    <x:row r="340" ht="26" customHeight="1">
      <x:c r="C340" s="2"/>
      <x:c r="D340" s="2"/>
      <x:c r="E340" s="2"/>
      <x:c r="F340" s="2"/>
      <x:c r="G340" s="2"/>
      <x:c r="H340" s="2"/>
      <x:c r="I340" s="2"/>
      <x:c r="J340" s="2"/>
      <x:c r="K340" s="2"/>
    </x:row>
  </x:sheetData>
  <x:mergeCells>
    <x:mergeCell ref="C2:J2"/>
    <x:mergeCell ref="C4:J4"/>
    <x:mergeCell ref="C38:J38"/>
    <x:mergeCell ref="C41:J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89493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8" hidden="0" customWidth="1"/>
    <x:col min="4" max="4" width="18" hidden="0" customWidth="1"/>
    <x:col min="5" max="5" width="38" hidden="0" customWidth="1"/>
    <x:col min="6" max="6" width="31" hidden="0" customWidth="1"/>
    <x:col min="7" max="7" width="19" hidden="0" customWidth="1"/>
    <x:col min="8" max="8" width="23" hidden="0" customWidth="1"/>
    <x:col min="9" max="9" width="21" hidden="0" customWidth="1"/>
    <x:col min="10" max="10" width="23" hidden="0" customWidth="1"/>
    <x:col min="11" max="11" width="12" hidden="0" customWidth="1"/>
  </x:cols>
  <x:sheetData>
    <x:row r="1" ht="26" customHeight="1"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C2" s="3" t="str">
        <x:v>Order, freight and dues calculator</x:v>
      </x:c>
      <x:c r="D2" s="3"/>
      <x:c r="E2" s="3"/>
      <x:c r="F2" s="3"/>
      <x:c r="G2" s="3"/>
      <x:c r="H2" s="3"/>
      <x:c r="I2" s="3"/>
      <x:c r="J2" s="3"/>
      <x:c r="K2" s="2"/>
    </x:row>
    <x:row r="3" ht="26" customHeight="1">
      <x:c r="C3" s="2"/>
      <x:c r="D3" s="2"/>
      <x:c r="E3" s="2"/>
      <x:c r="F3" s="2"/>
      <x:c r="G3" s="2"/>
      <x:c r="H3" s="2"/>
      <x:c r="I3" s="2"/>
      <x:c r="J3" s="2"/>
      <x:c r="K3" s="2"/>
    </x:row>
    <x:row r="4" ht="46" customHeight="1">
      <x:c r="C4" s="5" t="str">
        <x:v>Example order for a new taxable purchase. Enter catalog codes and quantities in blue. Imported catalog prices are already landed; only charge freight for the onward leg being quoted.</x:v>
      </x:c>
      <x:c r="D4" s="5"/>
      <x:c r="E4" s="5"/>
      <x:c r="F4" s="5"/>
      <x:c r="G4" s="5"/>
      <x:c r="H4" s="5"/>
      <x:c r="I4" s="5"/>
      <x:c r="J4" s="5"/>
      <x:c r="K4" s="2"/>
    </x:row>
    <x:row r="5" ht="26" customHeight="1"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C6" s="8" t="str">
        <x:v>Catalog code</x:v>
      </x:c>
      <x:c r="D6" s="8" t="str">
        <x:v>Quantity</x:v>
      </x:c>
      <x:c r="E6" s="8" t="str">
        <x:v>Item</x:v>
      </x:c>
      <x:c r="F6" s="8" t="str">
        <x:v>Unit</x:v>
      </x:c>
      <x:c r="G6" s="8" t="str">
        <x:v>Unit GD</x:v>
      </x:c>
      <x:c r="H6" s="8" t="str">
        <x:v>Goods GD</x:v>
      </x:c>
      <x:c r="I6" s="8" t="str">
        <x:v>Weight per unit, lb</x:v>
      </x:c>
      <x:c r="J6" s="8" t="str">
        <x:v>Total lb</x:v>
      </x:c>
      <x:c r="K6" s="2"/>
    </x:row>
    <x:row r="7" ht="34" customHeight="1">
      <x:c r="C7" s="9" t="str">
        <x:v>rye</x:v>
      </x:c>
      <x:c r="D7" s="9" t="n">
        <x:v>100</x:v>
      </x:c>
      <x:c r="E7" s="53" t="str">
        <x:f>IF(C7="","",IFERROR(VLOOKUP(C7,'Price Catalog'!$C$7:$L$393,3,FALSE),"Unknown code"))</x:f>
        <x:v>Rye</x:v>
      </x:c>
      <x:c r="F7" s="53" t="str">
        <x:f>IF(C7="","",IFERROR(VLOOKUP(C7,'Price Catalog'!$C$7:$L$393,4,FALSE),""))</x:f>
        <x:v>quarter (8 bushels)</x:v>
      </x:c>
      <x:c r="G7" s="52" t="n">
        <x:f>IF(C7="",0,IFERROR(VLOOKUP(C7,'Price Catalog'!$C$7:$L$393,5,FALSE),0))</x:f>
        <x:v>0.06311207760259036</x:v>
      </x:c>
      <x:c r="H7" s="18" t="n">
        <x:f>D7*G7</x:f>
        <x:v>6.311207760259036</x:v>
      </x:c>
      <x:c r="I7" s="43" t="n">
        <x:v>448</x:v>
      </x:c>
      <x:c r="J7" s="18" t="n">
        <x:f>D7*I7</x:f>
        <x:v>44800</x:v>
      </x:c>
      <x:c r="K7" s="2"/>
    </x:row>
    <x:row r="8" ht="34" customHeight="1">
      <x:c r="C8" s="9" t="str">
        <x:v>fish</x:v>
      </x:c>
      <x:c r="D8" s="9" t="n">
        <x:v>40</x:v>
      </x:c>
      <x:c r="E8" s="53" t="str">
        <x:f>IF(C8="","",IFERROR(VLOOKUP(C8,'Price Catalog'!$C$7:$L$393,3,FALSE),"Unknown code"))</x:f>
        <x:v>Preserved fish</x:v>
      </x:c>
      <x:c r="F8" s="53" t="str">
        <x:f>IF(C8="","",IFERROR(VLOOKUP(C8,'Price Catalog'!$C$7:$L$393,4,FALSE),""))</x:f>
        <x:v>stone (14 lb)</x:v>
      </x:c>
      <x:c r="G8" s="52" t="n">
        <x:f>IF(C8="",0,IFERROR(VLOOKUP(C8,'Price Catalog'!$C$7:$L$393,5,FALSE),0))</x:f>
        <x:v>0.09277475407580782</x:v>
      </x:c>
      <x:c r="H8" s="18" t="n">
        <x:f>D8*G8</x:f>
        <x:v>3.7109901630323128</x:v>
      </x:c>
      <x:c r="I8" s="43" t="n">
        <x:v>14</x:v>
      </x:c>
      <x:c r="J8" s="18" t="n">
        <x:f>D8*I8</x:f>
        <x:v>560</x:v>
      </x:c>
      <x:c r="K8" s="2"/>
    </x:row>
    <x:row r="9" ht="34" customHeight="1">
      <x:c r="C9" s="9" t="str">
        <x:v>salt</x:v>
      </x:c>
      <x:c r="D9" s="9" t="n">
        <x:v>10</x:v>
      </x:c>
      <x:c r="E9" s="53" t="str">
        <x:f>IF(C9="","",IFERROR(VLOOKUP(C9,'Price Catalog'!$C$7:$L$393,3,FALSE),"Unknown code"))</x:f>
        <x:v>Salt</x:v>
      </x:c>
      <x:c r="F9" s="53" t="str">
        <x:f>IF(C9="","",IFERROR(VLOOKUP(C9,'Price Catalog'!$C$7:$L$393,4,FALSE),""))</x:f>
        <x:v>stone (14 lb)</x:v>
      </x:c>
      <x:c r="G9" s="52" t="n">
        <x:f>IF(C9="",0,IFERROR(VLOOKUP(C9,'Price Catalog'!$C$7:$L$393,5,FALSE),0))</x:f>
        <x:v>0.018032022172168677</x:v>
      </x:c>
      <x:c r="H9" s="18" t="n">
        <x:f>D9*G9</x:f>
        <x:v>0.18032022172168677</x:v>
      </x:c>
      <x:c r="I9" s="43" t="n">
        <x:v>14</x:v>
      </x:c>
      <x:c r="J9" s="18" t="n">
        <x:f>D9*I9</x:f>
        <x:v>140</x:v>
      </x:c>
      <x:c r="K9" s="2"/>
    </x:row>
    <x:row r="10" ht="34" customHeight="1">
      <x:c r="C10" s="9" t="str">
        <x:v>timber</x:v>
      </x:c>
      <x:c r="D10" s="9" t="n">
        <x:v>20</x:v>
      </x:c>
      <x:c r="E10" s="53" t="str">
        <x:f>IF(C10="","",IFERROR(VLOOKUP(C10,'Price Catalog'!$C$7:$L$393,3,FALSE),"Unknown code"))</x:f>
        <x:v>Dressed ordinary timber</x:v>
      </x:c>
      <x:c r="F10" s="53" t="str">
        <x:f>IF(C10="","",IFERROR(VLOOKUP(C10,'Price Catalog'!$C$7:$L$393,4,FALSE),""))</x:f>
        <x:v>cartload, 30 cu ft</x:v>
      </x:c>
      <x:c r="G10" s="52" t="n">
        <x:f>IF(C10="",0,IFERROR(VLOOKUP(C10,'Price Catalog'!$C$7:$L$393,5,FALSE),0))</x:f>
        <x:v>0.3786724656155422</x:v>
      </x:c>
      <x:c r="H10" s="18" t="n">
        <x:f>D10*G10</x:f>
        <x:v>7.573449312310844</x:v>
      </x:c>
      <x:c r="I10" s="43" t="n">
        <x:v>1000</x:v>
      </x:c>
      <x:c r="J10" s="18" t="n">
        <x:f>D10*I10</x:f>
        <x:v>20000</x:v>
      </x:c>
      <x:c r="K10" s="2"/>
    </x:row>
    <x:row r="11" ht="34" customHeight="1">
      <x:c r="C11" s="9" t="str">
        <x:v>iron</x:v>
      </x:c>
      <x:c r="D11" s="9" t="n">
        <x:v>20</x:v>
      </x:c>
      <x:c r="E11" s="53" t="str">
        <x:f>IF(C11="","",IFERROR(VLOOKUP(C11,'Price Catalog'!$C$7:$L$393,3,FALSE),"Unknown code"))</x:f>
        <x:v>Worked iron stock</x:v>
      </x:c>
      <x:c r="F11" s="53" t="str">
        <x:f>IF(C11="","",IFERROR(VLOOKUP(C11,'Price Catalog'!$C$7:$L$393,4,FALSE),""))</x:f>
        <x:v>stone (14 lb)</x:v>
      </x:c>
      <x:c r="G11" s="52" t="n">
        <x:f>IF(C11="",0,IFERROR(VLOOKUP(C11,'Price Catalog'!$C$7:$L$393,5,FALSE),0))</x:f>
        <x:v>0.09016011086084337</x:v>
      </x:c>
      <x:c r="H11" s="18" t="n">
        <x:f>D11*G11</x:f>
        <x:v>1.8032022172168674</x:v>
      </x:c>
      <x:c r="I11" s="43" t="n">
        <x:v>14</x:v>
      </x:c>
      <x:c r="J11" s="18" t="n">
        <x:f>D11*I11</x:f>
        <x:v>280</x:v>
      </x:c>
      <x:c r="K11" s="2"/>
    </x:row>
    <x:row r="12" ht="34" customHeight="1">
      <x:c r="C12" s="9" t="str">
        <x:v>wool</x:v>
      </x:c>
      <x:c r="D12" s="9" t="n">
        <x:v>30</x:v>
      </x:c>
      <x:c r="E12" s="53" t="str">
        <x:f>IF(C12="","",IFERROR(VLOOKUP(C12,'Price Catalog'!$C$7:$L$393,3,FALSE),"Unknown code"))</x:f>
        <x:v>Raw wool</x:v>
      </x:c>
      <x:c r="F12" s="53" t="str">
        <x:f>IF(C12="","",IFERROR(VLOOKUP(C12,'Price Catalog'!$C$7:$L$393,4,FALSE),""))</x:f>
        <x:v>stone (14 lb)</x:v>
      </x:c>
      <x:c r="G12" s="52" t="n">
        <x:f>IF(C12="",0,IFERROR(VLOOKUP(C12,'Price Catalog'!$C$7:$L$393,5,FALSE),0))</x:f>
        <x:v>0.05409606651650602</x:v>
      </x:c>
      <x:c r="H12" s="18" t="n">
        <x:f>D12*G12</x:f>
        <x:v>1.6228819954951805</x:v>
      </x:c>
      <x:c r="I12" s="43" t="n">
        <x:v>14</x:v>
      </x:c>
      <x:c r="J12" s="18" t="n">
        <x:f>D12*I12</x:f>
        <x:v>420</x:v>
      </x:c>
      <x:c r="K12" s="2"/>
    </x:row>
    <x:row r="13" ht="34" customHeight="1">
      <x:c r="C13" s="9" t="str">
        <x:v>sword</x:v>
      </x:c>
      <x:c r="D13" s="9" t="n">
        <x:v>20</x:v>
      </x:c>
      <x:c r="E13" s="53" t="str">
        <x:f>IF(C13="","",IFERROR(VLOOKUP(C13,'Price Catalog'!$C$7:$L$393,3,FALSE),"Unknown code"))</x:f>
        <x:v>Ordinary service sword</x:v>
      </x:c>
      <x:c r="F13" s="53" t="str">
        <x:f>IF(C13="","",IFERROR(VLOOKUP(C13,'Price Catalog'!$C$7:$L$393,4,FALSE),""))</x:f>
        <x:v>each</x:v>
      </x:c>
      <x:c r="G13" s="52" t="n">
        <x:f>IF(C13="",0,IFERROR(VLOOKUP(C13,'Price Catalog'!$C$7:$L$393,5,FALSE),0))</x:f>
        <x:v>0.9466811640388554</x:v>
      </x:c>
      <x:c r="H13" s="18" t="n">
        <x:f>D13*G13</x:f>
        <x:v>18.93362328077711</x:v>
      </x:c>
      <x:c r="I13" s="43" t="n">
        <x:v>3</x:v>
      </x:c>
      <x:c r="J13" s="18" t="n">
        <x:f>D13*I13</x:f>
        <x:v>60</x:v>
      </x:c>
      <x:c r="K13" s="2"/>
    </x:row>
    <x:row r="14" ht="34" customHeight="1">
      <x:c r="C14" s="9" t="str">
        <x:v>mail</x:v>
      </x:c>
      <x:c r="D14" s="9" t="n">
        <x:v>20</x:v>
      </x:c>
      <x:c r="E14" s="53" t="str">
        <x:f>IF(C14="","",IFERROR(VLOOKUP(C14,'Price Catalog'!$C$7:$L$393,3,FALSE),"Unknown code"))</x:f>
        <x:v>Mail shirt</x:v>
      </x:c>
      <x:c r="F14" s="53" t="str">
        <x:f>IF(C14="","",IFERROR(VLOOKUP(C14,'Price Catalog'!$C$7:$L$393,4,FALSE),""))</x:f>
        <x:v>each</x:v>
      </x:c>
      <x:c r="G14" s="52" t="n">
        <x:f>IF(C14="",0,IFERROR(VLOOKUP(C14,'Price Catalog'!$C$7:$L$393,5,FALSE),0))</x:f>
        <x:v>3.7867246561554215</x:v>
      </x:c>
      <x:c r="H14" s="18" t="n">
        <x:f>D14*G14</x:f>
        <x:v>75.73449312310844</x:v>
      </x:c>
      <x:c r="I14" s="43" t="n">
        <x:v>25</x:v>
      </x:c>
      <x:c r="J14" s="18" t="n">
        <x:f>D14*I14</x:f>
        <x:v>500</x:v>
      </x:c>
      <x:c r="K14" s="2"/>
    </x:row>
    <x:row r="15" ht="34" customHeight="1">
      <x:c r="C15" s="9" t="str"/>
      <x:c r="D15" s="9" t="n">
        <x:v>0</x:v>
      </x:c>
      <x:c r="E15" s="53" t="str">
        <x:f>IF(C15="","",IFERROR(VLOOKUP(C15,'Price Catalog'!$C$7:$L$393,3,FALSE),"Unknown code"))</x:f>
      </x:c>
      <x:c r="F15" s="53" t="str">
        <x:f>IF(C15="","",IFERROR(VLOOKUP(C15,'Price Catalog'!$C$7:$L$393,4,FALSE),""))</x:f>
      </x:c>
      <x:c r="G15" s="52" t="n">
        <x:f>IF(C15="",0,IFERROR(VLOOKUP(C15,'Price Catalog'!$C$7:$L$393,5,FALSE),0))</x:f>
        <x:v>0</x:v>
      </x:c>
      <x:c r="H15" s="18" t="n">
        <x:f>D15*G15</x:f>
        <x:v>0</x:v>
      </x:c>
      <x:c r="I15" s="43" t="n">
        <x:v>0</x:v>
      </x:c>
      <x:c r="J15" s="18" t="n">
        <x:f>D15*I15</x:f>
        <x:v>0</x:v>
      </x:c>
      <x:c r="K15" s="2"/>
    </x:row>
    <x:row r="16" ht="34" customHeight="1">
      <x:c r="C16" s="9" t="str"/>
      <x:c r="D16" s="9" t="n">
        <x:v>0</x:v>
      </x:c>
      <x:c r="E16" s="53" t="str">
        <x:f>IF(C16="","",IFERROR(VLOOKUP(C16,'Price Catalog'!$C$7:$L$393,3,FALSE),"Unknown code"))</x:f>
      </x:c>
      <x:c r="F16" s="53" t="str">
        <x:f>IF(C16="","",IFERROR(VLOOKUP(C16,'Price Catalog'!$C$7:$L$393,4,FALSE),""))</x:f>
      </x:c>
      <x:c r="G16" s="52" t="n">
        <x:f>IF(C16="",0,IFERROR(VLOOKUP(C16,'Price Catalog'!$C$7:$L$393,5,FALSE),0))</x:f>
        <x:v>0</x:v>
      </x:c>
      <x:c r="H16" s="18" t="n">
        <x:f>D16*G16</x:f>
        <x:v>0</x:v>
      </x:c>
      <x:c r="I16" s="43" t="n">
        <x:v>0</x:v>
      </x:c>
      <x:c r="J16" s="18" t="n">
        <x:f>D16*I16</x:f>
        <x:v>0</x:v>
      </x:c>
      <x:c r="K16" s="2"/>
    </x:row>
    <x:row r="17" ht="34" customHeight="1">
      <x:c r="C17" s="9" t="str"/>
      <x:c r="D17" s="9" t="n">
        <x:v>0</x:v>
      </x:c>
      <x:c r="E17" s="53" t="str">
        <x:f>IF(C17="","",IFERROR(VLOOKUP(C17,'Price Catalog'!$C$7:$L$393,3,FALSE),"Unknown code"))</x:f>
      </x:c>
      <x:c r="F17" s="53" t="str">
        <x:f>IF(C17="","",IFERROR(VLOOKUP(C17,'Price Catalog'!$C$7:$L$393,4,FALSE),""))</x:f>
      </x:c>
      <x:c r="G17" s="52" t="n">
        <x:f>IF(C17="",0,IFERROR(VLOOKUP(C17,'Price Catalog'!$C$7:$L$393,5,FALSE),0))</x:f>
        <x:v>0</x:v>
      </x:c>
      <x:c r="H17" s="18" t="n">
        <x:f>D17*G17</x:f>
        <x:v>0</x:v>
      </x:c>
      <x:c r="I17" s="43" t="n">
        <x:v>0</x:v>
      </x:c>
      <x:c r="J17" s="18" t="n">
        <x:f>D17*I17</x:f>
        <x:v>0</x:v>
      </x:c>
      <x:c r="K17" s="2"/>
    </x:row>
    <x:row r="18" ht="34" customHeight="1">
      <x:c r="C18" s="9" t="str"/>
      <x:c r="D18" s="9" t="n">
        <x:v>0</x:v>
      </x:c>
      <x:c r="E18" s="53" t="str">
        <x:f>IF(C18="","",IFERROR(VLOOKUP(C18,'Price Catalog'!$C$7:$L$393,3,FALSE),"Unknown code"))</x:f>
      </x:c>
      <x:c r="F18" s="53" t="str">
        <x:f>IF(C18="","",IFERROR(VLOOKUP(C18,'Price Catalog'!$C$7:$L$393,4,FALSE),""))</x:f>
      </x:c>
      <x:c r="G18" s="52" t="n">
        <x:f>IF(C18="",0,IFERROR(VLOOKUP(C18,'Price Catalog'!$C$7:$L$393,5,FALSE),0))</x:f>
        <x:v>0</x:v>
      </x:c>
      <x:c r="H18" s="18" t="n">
        <x:f>D18*G18</x:f>
        <x:v>0</x:v>
      </x:c>
      <x:c r="I18" s="43" t="n">
        <x:v>0</x:v>
      </x:c>
      <x:c r="J18" s="18" t="n">
        <x:f>D18*I18</x:f>
        <x:v>0</x:v>
      </x:c>
      <x:c r="K18" s="2"/>
    </x:row>
    <x:row r="19" ht="34" customHeight="1">
      <x:c r="C19" s="9" t="str"/>
      <x:c r="D19" s="9" t="n">
        <x:v>0</x:v>
      </x:c>
      <x:c r="E19" s="53" t="str">
        <x:f>IF(C19="","",IFERROR(VLOOKUP(C19,'Price Catalog'!$C$7:$L$393,3,FALSE),"Unknown code"))</x:f>
      </x:c>
      <x:c r="F19" s="53" t="str">
        <x:f>IF(C19="","",IFERROR(VLOOKUP(C19,'Price Catalog'!$C$7:$L$393,4,FALSE),""))</x:f>
      </x:c>
      <x:c r="G19" s="52" t="n">
        <x:f>IF(C19="",0,IFERROR(VLOOKUP(C19,'Price Catalog'!$C$7:$L$393,5,FALSE),0))</x:f>
        <x:v>0</x:v>
      </x:c>
      <x:c r="H19" s="18" t="n">
        <x:f>D19*G19</x:f>
        <x:v>0</x:v>
      </x:c>
      <x:c r="I19" s="43" t="n">
        <x:v>0</x:v>
      </x:c>
      <x:c r="J19" s="18" t="n">
        <x:f>D19*I19</x:f>
        <x:v>0</x:v>
      </x:c>
      <x:c r="K19" s="2"/>
    </x:row>
    <x:row r="20" ht="34" customHeight="1">
      <x:c r="C20" s="9" t="str"/>
      <x:c r="D20" s="9" t="n">
        <x:v>0</x:v>
      </x:c>
      <x:c r="E20" s="53" t="str">
        <x:f>IF(C20="","",IFERROR(VLOOKUP(C20,'Price Catalog'!$C$7:$L$393,3,FALSE),"Unknown code"))</x:f>
      </x:c>
      <x:c r="F20" s="53" t="str">
        <x:f>IF(C20="","",IFERROR(VLOOKUP(C20,'Price Catalog'!$C$7:$L$393,4,FALSE),""))</x:f>
      </x:c>
      <x:c r="G20" s="52" t="n">
        <x:f>IF(C20="",0,IFERROR(VLOOKUP(C20,'Price Catalog'!$C$7:$L$393,5,FALSE),0))</x:f>
        <x:v>0</x:v>
      </x:c>
      <x:c r="H20" s="18" t="n">
        <x:f>D20*G20</x:f>
        <x:v>0</x:v>
      </x:c>
      <x:c r="I20" s="43" t="n">
        <x:v>0</x:v>
      </x:c>
      <x:c r="J20" s="18" t="n">
        <x:f>D20*I20</x:f>
        <x:v>0</x:v>
      </x:c>
      <x:c r="K20" s="2"/>
    </x:row>
    <x:row r="21" ht="34" customHeight="1">
      <x:c r="C21" s="9" t="str"/>
      <x:c r="D21" s="9" t="n">
        <x:v>0</x:v>
      </x:c>
      <x:c r="E21" s="53" t="str">
        <x:f>IF(C21="","",IFERROR(VLOOKUP(C21,'Price Catalog'!$C$7:$L$393,3,FALSE),"Unknown code"))</x:f>
      </x:c>
      <x:c r="F21" s="53" t="str">
        <x:f>IF(C21="","",IFERROR(VLOOKUP(C21,'Price Catalog'!$C$7:$L$393,4,FALSE),""))</x:f>
      </x:c>
      <x:c r="G21" s="52" t="n">
        <x:f>IF(C21="",0,IFERROR(VLOOKUP(C21,'Price Catalog'!$C$7:$L$393,5,FALSE),0))</x:f>
        <x:v>0</x:v>
      </x:c>
      <x:c r="H21" s="18" t="n">
        <x:f>D21*G21</x:f>
        <x:v>0</x:v>
      </x:c>
      <x:c r="I21" s="43" t="n">
        <x:v>0</x:v>
      </x:c>
      <x:c r="J21" s="18" t="n">
        <x:f>D21*I21</x:f>
        <x:v>0</x:v>
      </x:c>
      <x:c r="K21" s="2"/>
    </x:row>
    <x:row r="22" ht="34" customHeight="1">
      <x:c r="C22" s="9" t="str"/>
      <x:c r="D22" s="9" t="n">
        <x:v>0</x:v>
      </x:c>
      <x:c r="E22" s="53" t="str">
        <x:f>IF(C22="","",IFERROR(VLOOKUP(C22,'Price Catalog'!$C$7:$L$393,3,FALSE),"Unknown code"))</x:f>
      </x:c>
      <x:c r="F22" s="53" t="str">
        <x:f>IF(C22="","",IFERROR(VLOOKUP(C22,'Price Catalog'!$C$7:$L$393,4,FALSE),""))</x:f>
      </x:c>
      <x:c r="G22" s="52" t="n">
        <x:f>IF(C22="",0,IFERROR(VLOOKUP(C22,'Price Catalog'!$C$7:$L$393,5,FALSE),0))</x:f>
        <x:v>0</x:v>
      </x:c>
      <x:c r="H22" s="18" t="n">
        <x:f>D22*G22</x:f>
        <x:v>0</x:v>
      </x:c>
      <x:c r="I22" s="43" t="n">
        <x:v>0</x:v>
      </x:c>
      <x:c r="J22" s="18" t="n">
        <x:f>D22*I22</x:f>
        <x:v>0</x:v>
      </x:c>
      <x:c r="K22" s="2"/>
    </x:row>
    <x:row r="23" ht="34" customHeight="1">
      <x:c r="C23" s="9" t="str"/>
      <x:c r="D23" s="9" t="n">
        <x:v>0</x:v>
      </x:c>
      <x:c r="E23" s="53" t="str">
        <x:f>IF(C23="","",IFERROR(VLOOKUP(C23,'Price Catalog'!$C$7:$L$393,3,FALSE),"Unknown code"))</x:f>
      </x:c>
      <x:c r="F23" s="53" t="str">
        <x:f>IF(C23="","",IFERROR(VLOOKUP(C23,'Price Catalog'!$C$7:$L$393,4,FALSE),""))</x:f>
      </x:c>
      <x:c r="G23" s="52" t="n">
        <x:f>IF(C23="",0,IFERROR(VLOOKUP(C23,'Price Catalog'!$C$7:$L$393,5,FALSE),0))</x:f>
        <x:v>0</x:v>
      </x:c>
      <x:c r="H23" s="18" t="n">
        <x:f>D23*G23</x:f>
        <x:v>0</x:v>
      </x:c>
      <x:c r="I23" s="43" t="n">
        <x:v>0</x:v>
      </x:c>
      <x:c r="J23" s="18" t="n">
        <x:f>D23*I23</x:f>
        <x:v>0</x:v>
      </x:c>
      <x:c r="K23" s="2"/>
    </x:row>
    <x:row r="24" ht="34" customHeight="1">
      <x:c r="C24" s="9" t="str"/>
      <x:c r="D24" s="9" t="n">
        <x:v>0</x:v>
      </x:c>
      <x:c r="E24" s="53" t="str">
        <x:f>IF(C24="","",IFERROR(VLOOKUP(C24,'Price Catalog'!$C$7:$L$393,3,FALSE),"Unknown code"))</x:f>
      </x:c>
      <x:c r="F24" s="53" t="str">
        <x:f>IF(C24="","",IFERROR(VLOOKUP(C24,'Price Catalog'!$C$7:$L$393,4,FALSE),""))</x:f>
      </x:c>
      <x:c r="G24" s="52" t="n">
        <x:f>IF(C24="",0,IFERROR(VLOOKUP(C24,'Price Catalog'!$C$7:$L$393,5,FALSE),0))</x:f>
        <x:v>0</x:v>
      </x:c>
      <x:c r="H24" s="18" t="n">
        <x:f>D24*G24</x:f>
        <x:v>0</x:v>
      </x:c>
      <x:c r="I24" s="43" t="n">
        <x:v>0</x:v>
      </x:c>
      <x:c r="J24" s="18" t="n">
        <x:f>D24*I24</x:f>
        <x:v>0</x:v>
      </x:c>
      <x:c r="K24" s="2"/>
    </x:row>
    <x:row r="25" ht="26" customHeight="1"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6" customHeight="1"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31" customHeight="1">
      <x:c r="C27" s="13" t="str">
        <x:v>Transaction inputs and calculation</x:v>
      </x:c>
      <x:c r="D27" s="13"/>
      <x:c r="E27" s="13"/>
      <x:c r="F27" s="13"/>
      <x:c r="G27" s="13"/>
      <x:c r="H27" s="13"/>
      <x:c r="I27" s="13"/>
      <x:c r="J27" s="13"/>
      <x:c r="K27" s="2"/>
    </x:row>
    <x:row r="28" ht="26" customHeight="1"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40" customHeight="1">
      <x:c r="C29" s="8" t="str">
        <x:v>Cost or driver</x:v>
      </x:c>
      <x:c r="D29" s="8" t="str">
        <x:v>Value</x:v>
      </x:c>
      <x:c r="E29" s="8" t="str">
        <x:v>Unit / interpretation</x:v>
      </x:c>
      <x:c r="F29" s="2"/>
      <x:c r="G29" s="2"/>
      <x:c r="H29" s="2"/>
      <x:c r="I29" s="2"/>
      <x:c r="J29" s="2"/>
      <x:c r="K29" s="2"/>
    </x:row>
    <x:row r="30" ht="31" customHeight="1">
      <x:c r="C30" s="2" t="str">
        <x:v>Merchandise subtotal</x:v>
      </x:c>
      <x:c r="D30" s="51" t="n">
        <x:f>SUM(H7:H24)</x:f>
        <x:v>115.87016807392148</x:v>
      </x:c>
      <x:c r="E30" s="11" t="str">
        <x:v>GD, before the transaction additions below.</x:v>
      </x:c>
      <x:c r="F30" s="11"/>
      <x:c r="G30" s="11"/>
      <x:c r="H30" s="11"/>
      <x:c r="I30" s="11"/>
      <x:c r="J30" s="11"/>
      <x:c r="K30" s="2"/>
    </x:row>
    <x:row r="31" ht="31" customHeight="1">
      <x:c r="C31" s="2" t="str">
        <x:v>Cargo weight</x:v>
      </x:c>
      <x:c r="D31" s="51" t="n">
        <x:f>SUM(J7:J24)/'Basis'!$D$30</x:f>
        <x:v>29.803571428571427</x:v>
      </x:c>
      <x:c r="E31" s="11" t="str">
        <x:v>Long tons. Edit individual weights for each actual order.</x:v>
      </x:c>
      <x:c r="F31" s="11"/>
      <x:c r="G31" s="11"/>
      <x:c r="H31" s="11"/>
      <x:c r="I31" s="11"/>
      <x:c r="J31" s="11"/>
      <x:c r="K31" s="2"/>
    </x:row>
    <x:row r="32" ht="31" customHeight="1">
      <x:c r="C32" s="2" t="str">
        <x:v>Onward route distance</x:v>
      </x:c>
      <x:c r="D32" s="46" t="n">
        <x:v>100</x:v>
      </x:c>
      <x:c r="E32" s="11" t="str">
        <x:v>Miles; use sea miles only with sea freight.</x:v>
      </x:c>
      <x:c r="F32" s="11"/>
      <x:c r="G32" s="11"/>
      <x:c r="H32" s="11"/>
      <x:c r="I32" s="11"/>
      <x:c r="J32" s="11"/>
      <x:c r="K32" s="2"/>
    </x:row>
    <x:row r="33" ht="31" customHeight="1">
      <x:c r="C33" s="2" t="str">
        <x:v>Freight rate code</x:v>
      </x:c>
      <x:c r="D33" s="46" t="str">
        <x:v>coastal_freight</x:v>
      </x:c>
      <x:c r="E33" s="11" t="str">
        <x:v>road_freight, river_freight, upriver_freight or coastal_freight.</x:v>
      </x:c>
      <x:c r="F33" s="11"/>
      <x:c r="G33" s="11"/>
      <x:c r="H33" s="11"/>
      <x:c r="I33" s="11"/>
      <x:c r="J33" s="11"/>
      <x:c r="K33" s="2"/>
    </x:row>
    <x:row r="34" ht="31" customHeight="1">
      <x:c r="C34" s="2" t="str">
        <x:v>Freight rate GD</x:v>
      </x:c>
      <x:c r="D34" s="51" t="n">
        <x:f>IFERROR(VLOOKUP(D33,'Price Catalog'!$C$7:$L$393,5,FALSE),0)</x:f>
        <x:v>0.03091203800943201</x:v>
      </x:c>
      <x:c r="E34" s="11" t="str">
        <x:v>GD per long ton per 100 miles.</x:v>
      </x:c>
      <x:c r="F34" s="11"/>
      <x:c r="G34" s="11"/>
      <x:c r="H34" s="11"/>
      <x:c r="I34" s="11"/>
      <x:c r="J34" s="11"/>
      <x:c r="K34" s="2"/>
    </x:row>
    <x:row r="35" ht="31" customHeight="1">
      <x:c r="C35" s="2" t="str">
        <x:v>Freight cost</x:v>
      </x:c>
      <x:c r="D35" s="51" t="n">
        <x:f>D31*D32/100*D34</x:f>
        <x:v>0.9212891328168218</x:v>
      </x:c>
      <x:c r="E35" s="11" t="str">
        <x:v>GD, onward leg only. No new freight: set distance to 0.</x:v>
      </x:c>
      <x:c r="F35" s="11"/>
      <x:c r="G35" s="11"/>
      <x:c r="H35" s="11"/>
      <x:c r="I35" s="11"/>
      <x:c r="J35" s="11"/>
      <x:c r="K35" s="2"/>
    </x:row>
    <x:row r="36" ht="31" customHeight="1">
      <x:c r="C36" s="2" t="str">
        <x:v>Handling operations</x:v>
      </x:c>
      <x:c r="D36" s="46" t="n">
        <x:v>2</x:v>
      </x:c>
      <x:c r="E36" s="11" t="str">
        <x:v>One loading plus one unloading.</x:v>
      </x:c>
      <x:c r="F36" s="11"/>
      <x:c r="G36" s="11"/>
      <x:c r="H36" s="11"/>
      <x:c r="I36" s="11"/>
      <x:c r="J36" s="11"/>
      <x:c r="K36" s="2"/>
    </x:row>
    <x:row r="37" ht="31" customHeight="1">
      <x:c r="C37" s="2" t="str">
        <x:v>Handling cost</x:v>
      </x:c>
      <x:c r="D37" s="51" t="n">
        <x:f>D31*D36*'Price Catalog'!$G$375</x:f>
        <x:v>0.06909668496126163</x:v>
      </x:c>
      <x:c r="E37" s="11" t="str">
        <x:v>GD, handling labour.</x:v>
      </x:c>
      <x:c r="F37" s="11"/>
      <x:c r="G37" s="11"/>
      <x:c r="H37" s="11"/>
      <x:c r="I37" s="11"/>
      <x:c r="J37" s="11"/>
      <x:c r="K37" s="2"/>
    </x:row>
    <x:row r="38" ht="31" customHeight="1">
      <x:c r="C38" s="2" t="str">
        <x:v>Local goods dues rate</x:v>
      </x:c>
      <x:c r="D38" s="54" t="n">
        <x:f>'Basis'!$D$26</x:f>
        <x:v>0.015</x:v>
      </x:c>
      <x:c r="E38" s="11" t="str">
        <x:v>Current White Harbor 1.5%; set 0 if this transaction is exempt or already settled.</x:v>
      </x:c>
      <x:c r="F38" s="11"/>
      <x:c r="G38" s="11"/>
      <x:c r="H38" s="11"/>
      <x:c r="I38" s="11"/>
      <x:c r="J38" s="11"/>
      <x:c r="K38" s="2"/>
    </x:row>
    <x:row r="39" ht="31" customHeight="1">
      <x:c r="C39" s="2" t="str">
        <x:v>Local goods dues</x:v>
      </x:c>
      <x:c r="D39" s="51" t="n">
        <x:f>D30*D38</x:f>
        <x:v>1.738052521108822</x:v>
      </x:c>
      <x:c r="E39" s="11" t="str">
        <x:v>GD to the local lord; on goods only, not freight.</x:v>
      </x:c>
      <x:c r="F39" s="11"/>
      <x:c r="G39" s="11"/>
      <x:c r="H39" s="11"/>
      <x:c r="I39" s="11"/>
      <x:c r="J39" s="11"/>
      <x:c r="K39" s="2"/>
    </x:row>
    <x:row r="40" ht="31" customHeight="1">
      <x:c r="C40" s="2" t="str">
        <x:v>Crown goods customs rate</x:v>
      </x:c>
      <x:c r="D40" s="54" t="n">
        <x:f>'Basis'!$D$27</x:f>
        <x:v>0.025</x:v>
      </x:c>
      <x:c r="E40" s="11" t="str">
        <x:v>Current White Harbor 2.5%; set 0 if exempt or already settled.</x:v>
      </x:c>
      <x:c r="F40" s="11"/>
      <x:c r="G40" s="11"/>
      <x:c r="H40" s="11"/>
      <x:c r="I40" s="11"/>
      <x:c r="J40" s="11"/>
      <x:c r="K40" s="2"/>
    </x:row>
    <x:row r="41" ht="31" customHeight="1">
      <x:c r="C41" s="2" t="str">
        <x:v>Crown customs</x:v>
      </x:c>
      <x:c r="D41" s="51" t="n">
        <x:f>D30*D40</x:f>
        <x:v>2.896754201848037</x:v>
      </x:c>
      <x:c r="E41" s="11" t="str">
        <x:v>GD directly to Crown; on goods only.</x:v>
      </x:c>
      <x:c r="F41" s="11"/>
      <x:c r="G41" s="11"/>
      <x:c r="H41" s="11"/>
      <x:c r="I41" s="11"/>
      <x:c r="J41" s="11"/>
      <x:c r="K41" s="2"/>
    </x:row>
    <x:row r="42" ht="31" customHeight="1">
      <x:c r="C42" s="2" t="str">
        <x:v>Warehouse months</x:v>
      </x:c>
      <x:c r="D42" s="46" t="n">
        <x:v>0</x:v>
      </x:c>
      <x:c r="E42" s="11" t="str">
        <x:v>Months in dry storage; 0 means no warehousing.</x:v>
      </x:c>
      <x:c r="F42" s="11"/>
      <x:c r="G42" s="11"/>
      <x:c r="H42" s="11"/>
      <x:c r="I42" s="11"/>
      <x:c r="J42" s="11"/>
      <x:c r="K42" s="2"/>
    </x:row>
    <x:row r="43" ht="31" customHeight="1">
      <x:c r="C43" s="2" t="str">
        <x:v>Warehouse cost</x:v>
      </x:c>
      <x:c r="D43" s="51" t="n">
        <x:f>D31*D42*'Price Catalog'!$G$374</x:f>
        <x:v>0</x:v>
      </x:c>
      <x:c r="E43" s="11" t="str">
        <x:v>GD.</x:v>
      </x:c>
      <x:c r="F43" s="11"/>
      <x:c r="G43" s="11"/>
      <x:c r="H43" s="11"/>
      <x:c r="I43" s="11"/>
      <x:c r="J43" s="11"/>
      <x:c r="K43" s="2"/>
    </x:row>
    <x:row r="44" ht="31" customHeight="1">
      <x:c r="C44" s="2" t="str">
        <x:v>Merchant service markup</x:v>
      </x:c>
      <x:c r="D44" s="47" t="n">
        <x:v>0</x:v>
      </x:c>
      <x:c r="E44" s="11" t="str">
        <x:v>Optional quoted service margin on goods plus freight and handling.</x:v>
      </x:c>
      <x:c r="F44" s="11"/>
      <x:c r="G44" s="11"/>
      <x:c r="H44" s="11"/>
      <x:c r="I44" s="11"/>
      <x:c r="J44" s="11"/>
      <x:c r="K44" s="2"/>
    </x:row>
    <x:row r="45" ht="31" customHeight="1">
      <x:c r="C45" s="2" t="str">
        <x:v>Service markup cost</x:v>
      </x:c>
      <x:c r="D45" s="51" t="n">
        <x:f>SUM(D30,D35,D37)*D44</x:f>
        <x:v>0</x:v>
      </x:c>
      <x:c r="E45" s="11" t="str">
        <x:v>GD; 0 when buying directly at catalog quotes.</x:v>
      </x:c>
      <x:c r="F45" s="11"/>
      <x:c r="G45" s="11"/>
      <x:c r="H45" s="11"/>
      <x:c r="I45" s="11"/>
      <x:c r="J45" s="11"/>
      <x:c r="K45" s="2"/>
    </x:row>
    <x:row r="46" ht="31" customHeight="1">
      <x:c r="C46" s="32" t="str">
        <x:v>TOTAL ORDER GD</x:v>
      </x:c>
      <x:c r="D46" s="55" t="n">
        <x:f>SUM(D30,D35,D37,D39,D41,D43,D45)</x:f>
        <x:v>121.49536061465643</x:v>
      </x:c>
      <x:c r="E46" s="34" t="str">
        <x:v>Unrounded account value.</x:v>
      </x:c>
      <x:c r="F46" s="34"/>
      <x:c r="G46" s="34"/>
      <x:c r="H46" s="34"/>
      <x:c r="I46" s="34"/>
      <x:c r="J46" s="34"/>
      <x:c r="K46" s="2"/>
    </x:row>
    <x:row r="47" ht="31" customHeight="1">
      <x:c r="C47" s="2" t="str">
        <x:v>Settlement, whole CP</x:v>
      </x:c>
      <x:c r="D47" s="56" t="n">
        <x:f>ROUNDUP(D46*'Basis'!$D$7*'Basis'!$D$8,0)</x:f>
        <x:v>1428786</x:v>
      </x:c>
      <x:c r="E47" s="11" t="str">
        <x:v>Copper pennies; round only once, at settlement.</x:v>
      </x:c>
      <x:c r="F47" s="11"/>
      <x:c r="G47" s="11"/>
      <x:c r="H47" s="11"/>
      <x:c r="I47" s="11"/>
      <x:c r="J47" s="11"/>
      <x:c r="K47" s="2"/>
    </x:row>
    <x:row r="48" ht="31" customHeight="1">
      <x:c r="C48" s="2" t="str">
        <x:v>Gold dragons tendered</x:v>
      </x:c>
      <x:c r="D48" s="56" t="n">
        <x:f>INT(D47/('Basis'!$D$7*'Basis'!$D$8))</x:f>
        <x:v>121</x:v>
      </x:c>
      <x:c r="E48" s="11" t="str">
        <x:v>GD component of the same settlement, not extra.</x:v>
      </x:c>
      <x:c r="F48" s="11"/>
      <x:c r="G48" s="11"/>
      <x:c r="H48" s="11"/>
      <x:c r="I48" s="11"/>
      <x:c r="J48" s="11"/>
      <x:c r="K48" s="2"/>
    </x:row>
    <x:row r="49" ht="31" customHeight="1">
      <x:c r="C49" s="2" t="str">
        <x:v>Silver stags tendered</x:v>
      </x:c>
      <x:c r="D49" s="56" t="n">
        <x:f>INT(MOD(D47,'Basis'!$D$7*'Basis'!$D$8)/'Basis'!$D$8)</x:f>
        <x:v>104</x:v>
      </x:c>
      <x:c r="E49" s="11" t="str">
        <x:v>SS component of the same settlement.</x:v>
      </x:c>
      <x:c r="F49" s="11"/>
      <x:c r="G49" s="11"/>
      <x:c r="H49" s="11"/>
      <x:c r="I49" s="11"/>
      <x:c r="J49" s="11"/>
      <x:c r="K49" s="2"/>
    </x:row>
    <x:row r="50" ht="31" customHeight="1">
      <x:c r="C50" s="2" t="str">
        <x:v>Copper pennies tendered</x:v>
      </x:c>
      <x:c r="D50" s="56" t="n">
        <x:f>MOD(D47,'Basis'!$D$8)</x:f>
        <x:v>2</x:v>
      </x:c>
      <x:c r="E50" s="11" t="str">
        <x:v>CP remainder of the same settlement.</x:v>
      </x:c>
      <x:c r="F50" s="11"/>
      <x:c r="G50" s="11"/>
      <x:c r="H50" s="11"/>
      <x:c r="I50" s="11"/>
      <x:c r="J50" s="11"/>
      <x:c r="K50" s="2"/>
    </x:row>
    <x:row r="51" ht="26" customHeight="1"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26" customHeight="1"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33" customHeight="1">
      <x:c r="C53" s="2" t="str">
        <x:v>Unrecognised order codes</x:v>
      </x:c>
      <x:c r="D53" s="2" t="n">
        <x:f>COUNTIF(E7:E24,"Unknown code")</x:f>
        <x:v>0</x:v>
      </x:c>
      <x:c r="E53" s="11" t="str">
        <x:v>Must be 0 before using the quote.</x:v>
      </x:c>
      <x:c r="F53" s="11"/>
      <x:c r="G53" s="11"/>
      <x:c r="H53" s="11"/>
      <x:c r="I53" s="11"/>
      <x:c r="J53" s="11"/>
      <x:c r="K53" s="2"/>
    </x:row>
    <x:row r="54" ht="33" customHeight="1">
      <x:c r="C54" s="2" t="str">
        <x:v>Invalid freight code</x:v>
      </x:c>
      <x:c r="D54" s="2" t="n">
        <x:f>IF(OR(D33="road_freight",D33="river_freight",D33="upriver_freight",D33="coastal_freight"),0,1)</x:f>
        <x:v>0</x:v>
      </x:c>
      <x:c r="E54" s="11" t="str">
        <x:v>Must be 0; only these four rates have compatible units.</x:v>
      </x:c>
      <x:c r="F54" s="11"/>
      <x:c r="G54" s="11"/>
      <x:c r="H54" s="11"/>
      <x:c r="I54" s="11"/>
      <x:c r="J54" s="11"/>
      <x:c r="K54" s="2"/>
    </x:row>
    <x:row r="55" ht="33" customHeight="1">
      <x:c r="C55" s="2" t="str">
        <x:v>Negative inputs</x:v>
      </x:c>
      <x:c r="D55" s="2" t="n">
        <x:f>COUNTIF(D7:D24,"&lt;0")+COUNTIF(I7:I24,"&lt;0")+COUNTIF(D32,"&lt;0")+COUNTIF(D36,"&lt;0")+COUNTIF(D38,"&lt;0")+COUNTIF(D40,"&lt;0")+COUNTIF(D42,"&lt;0")+COUNTIF(D44,"&lt;0")</x:f>
        <x:v>0</x:v>
      </x:c>
      <x:c r="E55" s="11" t="str">
        <x:v>Must be 0.</x:v>
      </x:c>
      <x:c r="F55" s="11"/>
      <x:c r="G55" s="11"/>
      <x:c r="H55" s="11"/>
      <x:c r="I55" s="11"/>
      <x:c r="J55" s="11"/>
      <x:c r="K55" s="2"/>
    </x:row>
    <x:row r="56" ht="33" customHeight="1">
      <x:c r="C56" s="2" t="str">
        <x:v>Lines missing cargo weight</x:v>
      </x:c>
      <x:c r="D56" s="2" t="n">
        <x:f>COUNTIFS(D7:D24,"&gt;0",I7:I24,"&lt;=0")</x:f>
        <x:v>0</x:v>
      </x:c>
      <x:c r="E56" s="11" t="str">
        <x:v>Review before adding freight; services have no freight weight.</x:v>
      </x:c>
      <x:c r="F56" s="11"/>
      <x:c r="G56" s="11"/>
      <x:c r="H56" s="11"/>
      <x:c r="I56" s="11"/>
      <x:c r="J56" s="11"/>
      <x:c r="K56" s="2"/>
    </x:row>
    <x:row r="57" ht="26" customHeight="1"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42" customHeight="1">
      <x:c r="C58" s="5" t="str">
        <x:v>Unknown item codes produce a visible warning and zero price; check the four review lines before accepting a quote. Weights are entered independently because wool, grain, timber and equipment cannot use one conversion.</x:v>
      </x:c>
      <x:c r="D58" s="5"/>
      <x:c r="E58" s="5"/>
      <x:c r="F58" s="5"/>
      <x:c r="G58" s="5"/>
      <x:c r="H58" s="5"/>
      <x:c r="I58" s="5"/>
      <x:c r="J58" s="5"/>
      <x:c r="K58" s="2"/>
    </x:row>
    <x:row r="59" ht="26" customHeight="1"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26" customHeight="1"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26" customHeight="1"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26" customHeight="1"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26" customHeight="1"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26" customHeight="1">
      <x:c r="C64" s="2"/>
      <x:c r="D64" s="2"/>
      <x:c r="E64" s="2"/>
      <x:c r="F64" s="2"/>
      <x:c r="G64" s="2"/>
      <x:c r="H64" s="2"/>
      <x:c r="I64" s="2"/>
      <x:c r="J64" s="2"/>
      <x:c r="K64" s="2"/>
    </x:row>
  </x:sheetData>
  <x:mergeCells>
    <x:mergeCell ref="C2:J2"/>
    <x:mergeCell ref="C4:J4"/>
    <x:mergeCell ref="C27:J27"/>
    <x:mergeCell ref="E30:J30"/>
    <x:mergeCell ref="E31:J31"/>
    <x:mergeCell ref="E32:J32"/>
    <x:mergeCell ref="E33:J33"/>
    <x:mergeCell ref="E34:J34"/>
    <x:mergeCell ref="E35:J35"/>
    <x:mergeCell ref="E36:J36"/>
    <x:mergeCell ref="E37:J37"/>
    <x:mergeCell ref="E38:J38"/>
    <x:mergeCell ref="E39:J39"/>
    <x:mergeCell ref="E40:J40"/>
    <x:mergeCell ref="E41:J41"/>
    <x:mergeCell ref="E42:J42"/>
    <x:mergeCell ref="E43:J43"/>
    <x:mergeCell ref="E44:J44"/>
    <x:mergeCell ref="E45:J45"/>
    <x:mergeCell ref="E46:J46"/>
    <x:mergeCell ref="E47:J47"/>
    <x:mergeCell ref="E48:J48"/>
    <x:mergeCell ref="E49:J49"/>
    <x:mergeCell ref="E50:J50"/>
    <x:mergeCell ref="E53:J53"/>
    <x:mergeCell ref="E54:J54"/>
    <x:mergeCell ref="E55:J55"/>
    <x:mergeCell ref="E56:J56"/>
    <x:mergeCell ref="C58:J5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89493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3" hidden="0" customWidth="1"/>
    <x:col min="4" max="4" width="20" hidden="0" customWidth="1"/>
    <x:col min="5" max="5" width="71" hidden="0" customWidth="1"/>
    <x:col min="6" max="6" width="23" hidden="0" customWidth="1"/>
    <x:col min="7" max="7" width="5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6" customHeight="1"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C2" s="3" t="str">
        <x:v>Price basis and measures</x:v>
      </x:c>
      <x:c r="D2" s="3"/>
      <x:c r="E2" s="3"/>
      <x:c r="F2" s="3"/>
      <x:c r="G2" s="3"/>
      <x:c r="H2" s="3"/>
      <x:c r="I2" s="3"/>
      <x:c r="J2" s="3"/>
      <x:c r="K2" s="2"/>
    </x:row>
    <x:row r="3" ht="26" customHeight="1">
      <x:c r="C3" s="2"/>
      <x:c r="D3" s="2"/>
      <x:c r="E3" s="2"/>
      <x:c r="F3" s="2"/>
      <x:c r="G3" s="2"/>
      <x:c r="H3" s="2"/>
      <x:c r="I3" s="2"/>
      <x:c r="J3" s="2"/>
      <x:c r="K3" s="2"/>
    </x:row>
    <x:row r="4" ht="46" customHeight="1">
      <x:c r="C4" s="5" t="str">
        <x:v>All prices are simulation values. Existing fiscal prices are preserved; added prices are explicit relative-price assumptions.</x:v>
      </x:c>
      <x:c r="D4" s="5"/>
      <x:c r="E4" s="5"/>
      <x:c r="F4" s="5"/>
      <x:c r="G4" s="5"/>
      <x:c r="H4" s="5"/>
      <x:c r="I4" s="5"/>
      <x:c r="J4" s="5"/>
      <x:c r="K4" s="2"/>
    </x:row>
    <x:row r="5" ht="26" customHeight="1"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C6" s="8" t="str">
        <x:v>Rule</x:v>
      </x:c>
      <x:c r="D6" s="8" t="str">
        <x:v>Value</x:v>
      </x:c>
      <x:c r="E6" s="8" t="str">
        <x:v>Meaning</x:v>
      </x:c>
      <x:c r="F6" s="2"/>
      <x:c r="G6" s="2"/>
      <x:c r="H6" s="2"/>
      <x:c r="I6" s="2"/>
      <x:c r="J6" s="2"/>
      <x:c r="K6" s="2"/>
    </x:row>
    <x:row r="7" ht="33" customHeight="1">
      <x:c r="C7" s="2" t="str">
        <x:v>Silver stags per gold dragon</x:v>
      </x:c>
      <x:c r="D7" s="10" t="n">
        <x:v>210</x:v>
      </x:c>
      <x:c r="E7" s="11" t="str">
        <x:v>Existing fiscal coinage convention.</x:v>
      </x:c>
      <x:c r="F7" s="2"/>
      <x:c r="G7" s="2"/>
      <x:c r="H7" s="2"/>
      <x:c r="I7" s="2"/>
      <x:c r="J7" s="2"/>
      <x:c r="K7" s="2"/>
    </x:row>
    <x:row r="8" ht="33" customHeight="1">
      <x:c r="C8" s="2" t="str">
        <x:v>Copper pennies per silver stag</x:v>
      </x:c>
      <x:c r="D8" s="10" t="n">
        <x:v>56</x:v>
      </x:c>
      <x:c r="E8" s="11" t="str">
        <x:v>Existing fiscal coinage convention.</x:v>
      </x:c>
      <x:c r="F8" s="2"/>
      <x:c r="G8" s="2"/>
      <x:c r="H8" s="2"/>
      <x:c r="I8" s="2"/>
      <x:c r="J8" s="2"/>
      <x:c r="K8" s="2"/>
    </x:row>
    <x:row r="9" ht="33" customHeight="1">
      <x:c r="C9" s="2" t="str">
        <x:v>Calendar days per year</x:v>
      </x:c>
      <x:c r="D9" s="10" t="n">
        <x:v>365</x:v>
      </x:c>
      <x:c r="E9" s="11" t="str">
        <x:v>Annual retainers and operating-cost allocation.</x:v>
      </x:c>
      <x:c r="F9" s="2"/>
      <x:c r="G9" s="2"/>
      <x:c r="H9" s="2"/>
      <x:c r="I9" s="2"/>
      <x:c r="J9" s="2"/>
      <x:c r="K9" s="2"/>
    </x:row>
    <x:row r="10" ht="33" customHeight="1">
      <x:c r="C10" s="2" t="str">
        <x:v>Craft working days per year</x:v>
      </x:c>
      <x:c r="D10" s="10" t="n">
        <x:v>300</x:v>
      </x:c>
      <x:c r="E10" s="11" t="str">
        <x:v>Annual-equivalent trade pay divided into paid workdays.</x:v>
      </x:c>
      <x:c r="F10" s="2"/>
      <x:c r="G10" s="2"/>
      <x:c r="H10" s="2"/>
      <x:c r="I10" s="2"/>
      <x:c r="J10" s="2"/>
      <x:c r="K10" s="2"/>
    </x:row>
    <x:row r="11" ht="33" customHeight="1">
      <x:c r="C11" s="2" t="str">
        <x:v>Grain quarters per adult-year</x:v>
      </x:c>
      <x:c r="D11" s="10" t="n">
        <x:v>1.1</x:v>
      </x:c>
      <x:c r="E11" s="11" t="str">
        <x:v>Existing fiscal provisioning convention.</x:v>
      </x:c>
      <x:c r="F11" s="2"/>
      <x:c r="G11" s="2"/>
      <x:c r="H11" s="2"/>
      <x:c r="I11" s="2"/>
      <x:c r="J11" s="2"/>
      <x:c r="K11" s="2"/>
    </x:row>
    <x:row r="12" ht="33" customHeight="1">
      <x:c r="C12" s="2" t="str">
        <x:v>Rye share of grain ration</x:v>
      </x:c>
      <x:c r="D12" s="10" t="n">
        <x:v>0.4</x:v>
      </x:c>
      <x:c r="E12" s="11" t="str">
        <x:v>Existing diet mix.</x:v>
      </x:c>
      <x:c r="F12" s="2"/>
      <x:c r="G12" s="2"/>
      <x:c r="H12" s="2"/>
      <x:c r="I12" s="2"/>
      <x:c r="J12" s="2"/>
      <x:c r="K12" s="2"/>
    </x:row>
    <x:row r="13" ht="33" customHeight="1">
      <x:c r="C13" s="2" t="str">
        <x:v>Barley share</x:v>
      </x:c>
      <x:c r="D13" s="10" t="n">
        <x:v>0.25</x:v>
      </x:c>
      <x:c r="E13" s="11" t="str">
        <x:v>Existing diet mix.</x:v>
      </x:c>
      <x:c r="F13" s="2"/>
      <x:c r="G13" s="2"/>
      <x:c r="H13" s="2"/>
      <x:c r="I13" s="2"/>
      <x:c r="J13" s="2"/>
      <x:c r="K13" s="2"/>
    </x:row>
    <x:row r="14" ht="33" customHeight="1">
      <x:c r="C14" s="2" t="str">
        <x:v>Oats share</x:v>
      </x:c>
      <x:c r="D14" s="10" t="n">
        <x:v>0.2</x:v>
      </x:c>
      <x:c r="E14" s="11" t="str">
        <x:v>Existing diet mix.</x:v>
      </x:c>
      <x:c r="F14" s="2"/>
      <x:c r="G14" s="2"/>
      <x:c r="H14" s="2"/>
      <x:c r="I14" s="2"/>
      <x:c r="J14" s="2"/>
      <x:c r="K14" s="2"/>
    </x:row>
    <x:row r="15" ht="33" customHeight="1">
      <x:c r="C15" s="2" t="str">
        <x:v>Peas and beans share</x:v>
      </x:c>
      <x:c r="D15" s="10" t="n">
        <x:v>0.1</x:v>
      </x:c>
      <x:c r="E15" s="11" t="str">
        <x:v>Existing diet mix.</x:v>
      </x:c>
      <x:c r="F15" s="2"/>
      <x:c r="G15" s="2"/>
      <x:c r="H15" s="2"/>
      <x:c r="I15" s="2"/>
      <x:c r="J15" s="2"/>
      <x:c r="K15" s="2"/>
    </x:row>
    <x:row r="16" ht="33" customHeight="1">
      <x:c r="C16" s="2" t="str">
        <x:v>Wheat share</x:v>
      </x:c>
      <x:c r="D16" s="10" t="n">
        <x:v>0.05</x:v>
      </x:c>
      <x:c r="E16" s="11" t="str">
        <x:v>Existing diet mix.</x:v>
      </x:c>
      <x:c r="F16" s="2"/>
      <x:c r="G16" s="2"/>
      <x:c r="H16" s="2"/>
      <x:c r="I16" s="2"/>
      <x:c r="J16" s="2"/>
      <x:c r="K16" s="2"/>
    </x:row>
    <x:row r="17" ht="33" customHeight="1">
      <x:c r="C17" s="2" t="str">
        <x:v>Horse oats, quarters/year</x:v>
      </x:c>
      <x:c r="D17" s="10" t="n">
        <x:v>4</x:v>
      </x:c>
      <x:c r="E17" s="11" t="str">
        <x:v>New ordinary stabled working-horse assumption.</x:v>
      </x:c>
      <x:c r="F17" s="2"/>
      <x:c r="G17" s="2"/>
      <x:c r="H17" s="2"/>
      <x:c r="I17" s="2"/>
      <x:c r="J17" s="2"/>
      <x:c r="K17" s="2"/>
    </x:row>
    <x:row r="18" ht="33" customHeight="1">
      <x:c r="C18" s="2" t="str">
        <x:v>Horse hay, long tons/year</x:v>
      </x:c>
      <x:c r="D18" s="10" t="n">
        <x:v>1.5</x:v>
      </x:c>
      <x:c r="E18" s="11" t="str">
        <x:v>New annual stored-fodder allowance.</x:v>
      </x:c>
      <x:c r="F18" s="2"/>
      <x:c r="G18" s="2"/>
      <x:c r="H18" s="2"/>
      <x:c r="I18" s="2"/>
      <x:c r="J18" s="2"/>
      <x:c r="K18" s="2"/>
    </x:row>
    <x:row r="19" ht="33" customHeight="1">
      <x:c r="C19" s="2" t="str">
        <x:v>Horse shoeing sets/year</x:v>
      </x:c>
      <x:c r="D19" s="10" t="n">
        <x:v>6</x:v>
      </x:c>
      <x:c r="E19" s="11" t="str">
        <x:v>New ordinary working-horse assumption.</x:v>
      </x:c>
      <x:c r="F19" s="2"/>
      <x:c r="G19" s="2"/>
      <x:c r="H19" s="2"/>
      <x:c r="I19" s="2"/>
      <x:c r="J19" s="2"/>
      <x:c r="K19" s="2"/>
    </x:row>
    <x:row r="20" ht="33" customHeight="1">
      <x:c r="C20" s="2" t="str">
        <x:v>Annual mount replacement fraction</x:v>
      </x:c>
      <x:c r="D20" s="10" t="n">
        <x:v>0.12</x:v>
      </x:c>
      <x:c r="E20" s="11" t="str">
        <x:v>Existing House Costs replacement rule.</x:v>
      </x:c>
      <x:c r="F20" s="2"/>
      <x:c r="G20" s="2"/>
      <x:c r="H20" s="2"/>
      <x:c r="I20" s="2"/>
      <x:c r="J20" s="2"/>
      <x:c r="K20" s="2"/>
    </x:row>
    <x:row r="21" ht="33" customHeight="1">
      <x:c r="C21" s="2" t="str">
        <x:v>Field-pay supplement</x:v>
      </x:c>
      <x:c r="D21" s="10" t="n">
        <x:v>0.25</x:v>
      </x:c>
      <x:c r="E21" s="11" t="str">
        <x:v>New annual in-field cash-pay uplift.</x:v>
      </x:c>
      <x:c r="F21" s="2"/>
      <x:c r="G21" s="2"/>
      <x:c r="H21" s="2"/>
      <x:c r="I21" s="2"/>
      <x:c r="J21" s="2"/>
      <x:c r="K21" s="2"/>
    </x:row>
    <x:row r="22" ht="33" customHeight="1">
      <x:c r="C22" s="2" t="str">
        <x:v>Field-food supplement</x:v>
      </x:c>
      <x:c r="D22" s="10" t="n">
        <x:v>0.2</x:v>
      </x:c>
      <x:c r="E22" s="11" t="str">
        <x:v>New procurement and wastage allowance.</x:v>
      </x:c>
      <x:c r="F22" s="2"/>
      <x:c r="G22" s="2"/>
      <x:c r="H22" s="2"/>
      <x:c r="I22" s="2"/>
      <x:c r="J22" s="2"/>
      <x:c r="K22" s="2"/>
    </x:row>
    <x:row r="23" ht="33" customHeight="1">
      <x:c r="C23" s="2" t="str">
        <x:v>Ship hull and rig repairs/year</x:v>
      </x:c>
      <x:c r="D23" s="10" t="n">
        <x:v>0.05</x:v>
      </x:c>
      <x:c r="E23" s="11" t="str">
        <x:v>Fraction of new-build price; normal annual repair budget.</x:v>
      </x:c>
      <x:c r="F23" s="2"/>
      <x:c r="G23" s="2"/>
      <x:c r="H23" s="2"/>
      <x:c r="I23" s="2"/>
      <x:c r="J23" s="2"/>
      <x:c r="K23" s="2"/>
    </x:row>
    <x:row r="24" ht="33" customHeight="1">
      <x:c r="C24" s="2" t="str">
        <x:v>Ship stores and fixed port costs/year</x:v>
      </x:c>
      <x:c r="D24" s="10" t="n">
        <x:v>0.015</x:v>
      </x:c>
      <x:c r="E24" s="11" t="str">
        <x:v>Fraction of new-build price; excludes cargo customs.</x:v>
      </x:c>
      <x:c r="F24" s="2"/>
      <x:c r="G24" s="2"/>
      <x:c r="H24" s="2"/>
      <x:c r="I24" s="2"/>
      <x:c r="J24" s="2"/>
      <x:c r="K24" s="2"/>
    </x:row>
    <x:row r="25" ht="33" customHeight="1">
      <x:c r="C25" s="2" t="str">
        <x:v>Laid-up ship repair budget/year</x:v>
      </x:c>
      <x:c r="D25" s="10" t="n">
        <x:v>0.025</x:v>
      </x:c>
      <x:c r="E25" s="11" t="str">
        <x:v>Fraction of new-build price; crew reduced to caretakers.</x:v>
      </x:c>
      <x:c r="F25" s="2"/>
      <x:c r="G25" s="2"/>
      <x:c r="H25" s="2"/>
      <x:c r="I25" s="2"/>
      <x:c r="J25" s="2"/>
      <x:c r="K25" s="2"/>
    </x:row>
    <x:row r="26" ht="33" customHeight="1">
      <x:c r="C26" s="2" t="str">
        <x:v>White Harbor local goods dues</x:v>
      </x:c>
      <x:c r="D26" s="10" t="n">
        <x:v>0.015</x:v>
      </x:c>
      <x:c r="E26" s="11" t="str">
        <x:v>Existing Port Dues!G7; charged once when a transaction is taxable.</x:v>
      </x:c>
      <x:c r="F26" s="2"/>
      <x:c r="G26" s="2"/>
      <x:c r="H26" s="2"/>
      <x:c r="I26" s="2"/>
      <x:c r="J26" s="2"/>
      <x:c r="K26" s="2"/>
    </x:row>
    <x:row r="27" ht="33" customHeight="1">
      <x:c r="C27" s="2" t="str">
        <x:v>White Harbor Crown goods customs</x:v>
      </x:c>
      <x:c r="D27" s="10" t="n">
        <x:v>0.025</x:v>
      </x:c>
      <x:c r="E27" s="11" t="str">
        <x:v>Existing Port Dues!H7; paid directly to Crown.</x:v>
      </x:c>
      <x:c r="F27" s="2"/>
      <x:c r="G27" s="2"/>
      <x:c r="H27" s="2"/>
      <x:c r="I27" s="2"/>
      <x:c r="J27" s="2"/>
      <x:c r="K27" s="2"/>
    </x:row>
    <x:row r="28" ht="33" customHeight="1">
      <x:c r="C28" s="2" t="str">
        <x:v>Bushels per quarter</x:v>
      </x:c>
      <x:c r="D28" s="10" t="n">
        <x:v>8</x:v>
      </x:c>
      <x:c r="E28" s="11" t="str">
        <x:v>Existing fiscal standard.</x:v>
      </x:c>
      <x:c r="F28" s="2"/>
      <x:c r="G28" s="2"/>
      <x:c r="H28" s="2"/>
      <x:c r="I28" s="2"/>
      <x:c r="J28" s="2"/>
      <x:c r="K28" s="2"/>
    </x:row>
    <x:row r="29" ht="33" customHeight="1">
      <x:c r="C29" s="2" t="str">
        <x:v>Pounds per stone</x:v>
      </x:c>
      <x:c r="D29" s="10" t="n">
        <x:v>14</x:v>
      </x:c>
      <x:c r="E29" s="11" t="str">
        <x:v>Trade measure.</x:v>
      </x:c>
      <x:c r="F29" s="2"/>
      <x:c r="G29" s="2"/>
      <x:c r="H29" s="2"/>
      <x:c r="I29" s="2"/>
      <x:c r="J29" s="2"/>
      <x:c r="K29" s="2"/>
    </x:row>
    <x:row r="30" ht="33" customHeight="1">
      <x:c r="C30" s="2" t="str">
        <x:v>Pounds per long ton</x:v>
      </x:c>
      <x:c r="D30" s="10" t="n">
        <x:v>2240</x:v>
      </x:c>
      <x:c r="E30" s="11" t="str">
        <x:v>Book-wide freight weight unit.</x:v>
      </x:c>
      <x:c r="F30" s="2"/>
      <x:c r="G30" s="2"/>
      <x:c r="H30" s="2"/>
      <x:c r="I30" s="2"/>
      <x:c r="J30" s="2"/>
      <x:c r="K30" s="2"/>
    </x:row>
    <x:row r="31" ht="33" customHeight="1">
      <x:c r="C31" s="2" t="str">
        <x:v>Timber cartload, cubic feet</x:v>
      </x:c>
      <x:c r="D31" s="10" t="n">
        <x:v>30</x:v>
      </x:c>
      <x:c r="E31" s="11" t="str">
        <x:v>New definition of the existing timber quote.</x:v>
      </x:c>
      <x:c r="F31" s="2"/>
      <x:c r="G31" s="2"/>
      <x:c r="H31" s="2"/>
      <x:c r="I31" s="2"/>
      <x:c r="J31" s="2"/>
      <x:c r="K31" s="2"/>
    </x:row>
    <x:row r="32" ht="33" customHeight="1">
      <x:c r="C32" s="2" t="str">
        <x:v>Pints per gallon</x:v>
      </x:c>
      <x:c r="D32" s="10" t="n">
        <x:v>8</x:v>
      </x:c>
      <x:c r="E32" s="11" t="str">
        <x:v>Trade measure for this book.</x:v>
      </x:c>
      <x:c r="F32" s="2"/>
      <x:c r="G32" s="2"/>
      <x:c r="H32" s="2"/>
      <x:c r="I32" s="2"/>
      <x:c r="J32" s="2"/>
      <x:c r="K32" s="2"/>
    </x:row>
    <x:row r="33" ht="33" customHeight="1">
      <x:c r="C33" s="2" t="str">
        <x:v>Ale barrel, gallons</x:v>
      </x:c>
      <x:c r="D33" s="10" t="n">
        <x:v>36</x:v>
      </x:c>
      <x:c r="E33" s="11" t="str">
        <x:v>New standard container size.</x:v>
      </x:c>
      <x:c r="F33" s="2"/>
      <x:c r="G33" s="2"/>
      <x:c r="H33" s="2"/>
      <x:c r="I33" s="2"/>
      <x:c r="J33" s="2"/>
      <x:c r="K33" s="2"/>
    </x:row>
    <x:row r="34" ht="33" customHeight="1">
      <x:c r="C34" s="2" t="str">
        <x:v>Wine cask, gallons</x:v>
      </x:c>
      <x:c r="D34" s="10" t="n">
        <x:v>31.5</x:v>
      </x:c>
      <x:c r="E34" s="11" t="str">
        <x:v>New standard container size.</x:v>
      </x:c>
      <x:c r="F34" s="2"/>
      <x:c r="G34" s="2"/>
      <x:c r="H34" s="2"/>
      <x:c r="I34" s="2"/>
      <x:c r="J34" s="2"/>
      <x:c r="K34" s="2"/>
    </x:row>
    <x:row r="35" ht="33" customHeight="1">
      <x:c r="C35" s="2" t="str">
        <x:v>Reference output benchmark, GD</x:v>
      </x:c>
      <x:c r="D35" s="10" t="n">
        <x:v>6000000</x:v>
      </x:c>
      <x:c r="E35" s="11" t="str">
        <x:v>Unchanged reference benchmark, not current Westerlands GDP.</x:v>
      </x:c>
      <x:c r="F35" s="2"/>
      <x:c r="G35" s="2"/>
      <x:c r="H35" s="2"/>
      <x:c r="I35" s="2"/>
      <x:c r="J35" s="2"/>
      <x:c r="K35" s="2"/>
    </x:row>
    <x:row r="36" ht="33" customHeight="1">
      <x:c r="C36" s="2" t="str">
        <x:v>North annual output, GD</x:v>
      </x:c>
      <x:c r="D36" s="10" t="n">
        <x:v>3300000.0000000005</x:v>
      </x:c>
      <x:c r="E36" s="11" t="str">
        <x:v>Existing current North model.</x:v>
      </x:c>
      <x:c r="F36" s="2"/>
      <x:c r="G36" s="2"/>
      <x:c r="H36" s="2"/>
      <x:c r="I36" s="2"/>
      <x:c r="J36" s="2"/>
      <x:c r="K36" s="2"/>
    </x:row>
    <x:row r="37" ht="33" customHeight="1">
      <x:c r="C37" s="2" t="str">
        <x:v>Recorded fiscal calibration factor</x:v>
      </x:c>
      <x:c r="D37" s="10" t="n">
        <x:v>1.8933623280777108</x:v>
      </x:c>
      <x:c r="E37" s="11" t="str">
        <x:v>Record only. Not applied again to preserved prices.</x:v>
      </x:c>
      <x:c r="F37" s="2"/>
      <x:c r="G37" s="2"/>
      <x:c r="H37" s="2"/>
      <x:c r="I37" s="2"/>
      <x:c r="J37" s="2"/>
      <x:c r="K37" s="2"/>
    </x:row>
    <x:row r="38" ht="26" customHeight="1"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6" customHeight="1"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31" customHeight="1">
      <x:c r="C40" s="13" t="str">
        <x:v>How prices are used</x:v>
      </x:c>
      <x:c r="D40" s="13"/>
      <x:c r="E40" s="13"/>
      <x:c r="F40" s="13"/>
      <x:c r="G40" s="13"/>
      <x:c r="H40" s="13"/>
      <x:c r="I40" s="13"/>
      <x:c r="J40" s="13"/>
      <x:c r="K40" s="2"/>
    </x:row>
    <x:row r="41" ht="42" customHeight="1">
      <x:c r="C41" s="5" t="str">
        <x:v>GD, SS and CP are three equivalent expressions of the same price, not three amounts to add. Keep fractional pennies in accounts; round the final payment up to a whole copper penny.</x:v>
      </x:c>
      <x:c r="D41" s="5"/>
      <x:c r="E41" s="5"/>
      <x:c r="F41" s="5"/>
      <x:c r="G41" s="5"/>
      <x:c r="H41" s="5"/>
      <x:c r="I41" s="5"/>
      <x:c r="J41" s="5"/>
      <x:c r="K41" s="2"/>
    </x:row>
    <x:row r="42" ht="26" customHeight="1"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42" customHeight="1">
      <x:c r="C43" s="5" t="str">
        <x:v>Bulk goods are ordinary wholesale or farm-gate lots. Prepared meals, clothing and household items are finished market quotes. Imported goods are landed White Harbor quotes. Delivery elsewhere, credit and any new taxable transaction are extra.</x:v>
      </x:c>
      <x:c r="D43" s="5"/>
      <x:c r="E43" s="5"/>
      <x:c r="F43" s="5"/>
      <x:c r="G43" s="5"/>
      <x:c r="H43" s="5"/>
      <x:c r="I43" s="5"/>
      <x:c r="J43" s="5"/>
      <x:c r="K43" s="2"/>
    </x:row>
    <x:row r="44" ht="26" customHeight="1"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42" customHeight="1">
      <x:c r="C45" s="5" t="str">
        <x:v>Every added catalog price equals a named fiscal anchor multiplied by the visible blue factor. The factor is a simulation judgement about relative value, not a canon price or a historical measurement.</x:v>
      </x:c>
      <x:c r="D45" s="5"/>
      <x:c r="E45" s="5"/>
      <x:c r="F45" s="5"/>
      <x:c r="G45" s="5"/>
      <x:c r="H45" s="5"/>
      <x:c r="I45" s="5"/>
      <x:c r="J45" s="5"/>
      <x:c r="K45" s="2"/>
    </x:row>
    <x:row r="46" ht="26" customHeight="1"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42" customHeight="1">
      <x:c r="C47" s="5" t="str">
        <x:v>The model is an ordinary year after Cregan takes control in 126 AC. No war mobilisation, famine or multi-year winter surcharge is assumed. This price book is separate; editing it does not update the fiscal workbook.</x:v>
      </x:c>
      <x:c r="D47" s="5"/>
      <x:c r="E47" s="5"/>
      <x:c r="F47" s="5"/>
      <x:c r="G47" s="5"/>
      <x:c r="H47" s="5"/>
      <x:c r="I47" s="5"/>
      <x:c r="J47" s="5"/>
      <x:c r="K47" s="2"/>
    </x:row>
    <x:row r="48" ht="26" customHeight="1"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42" customHeight="1">
      <x:c r="C49" s="5" t="str">
        <x:v>Construction quotes describe ordinary sites and listed scope. Existing castle land, lordship rights, excavation in bedrock, hostile works, exceptional decoration and unforeseen ground conditions require additional estimates.</x:v>
      </x:c>
      <x:c r="D49" s="5"/>
      <x:c r="E49" s="5"/>
      <x:c r="F49" s="5"/>
      <x:c r="G49" s="5"/>
      <x:c r="H49" s="5"/>
      <x:c r="I49" s="5"/>
      <x:c r="J49" s="5"/>
      <x:c r="K49" s="2"/>
    </x:row>
    <x:row r="50" ht="26" customHeight="1"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6" customHeight="1"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31" customHeight="1">
      <x:c r="C52" s="13" t="str">
        <x:v>Research and source record</x:v>
      </x:c>
      <x:c r="D52" s="13"/>
      <x:c r="E52" s="13"/>
      <x:c r="F52" s="13"/>
      <x:c r="G52" s="13"/>
      <x:c r="H52" s="13"/>
      <x:c r="I52" s="13"/>
      <x:c r="J52" s="13"/>
      <x:c r="K52" s="2"/>
    </x:row>
    <x:row r="53" ht="34" customHeight="1">
      <x:c r="C53" s="2" t="str">
        <x:v>Current fiscal workbook</x:v>
      </x:c>
      <x:c r="D53" s="11" t="str">
        <x:v>North_126AC_Fiscal_Model.xlsx, current version 3; Prices!G7:G50, Rules and Port Dues. Copied from the file in this workspace.</x:v>
      </x:c>
      <x:c r="E53" s="11"/>
      <x:c r="F53" s="2"/>
      <x:c r="G53" s="2"/>
      <x:c r="H53" s="2"/>
      <x:c r="I53" s="2"/>
      <x:c r="J53" s="2"/>
      <x:c r="K53" s="2"/>
    </x:row>
    <x:row r="54" ht="34" customHeight="1">
      <x:c r="C54" s="2" t="str">
        <x:v>Coinage</x:v>
      </x:c>
      <x:c r="D54" s="11" t="str">
        <x:v>https://www.shirepost.com/products/aegon-stag</x:v>
      </x:c>
      <x:c r="E54" s="11"/>
      <x:c r="F54" s="2"/>
      <x:c r="G54" s="2"/>
      <x:c r="H54" s="2"/>
      <x:c r="I54" s="2"/>
      <x:c r="J54" s="2"/>
      <x:c r="K54" s="2"/>
    </x:row>
    <x:row r="55" ht="34" customHeight="1">
      <x:c r="C55" s="2" t="str">
        <x:v>Coinage evidence</x:v>
      </x:c>
      <x:c r="D55" s="11" t="str">
        <x:v>Licensed mint gives 210 silver stags per dragon and 56 copper pennies per stag.</x:v>
      </x:c>
      <x:c r="E55" s="11"/>
      <x:c r="F55" s="2"/>
      <x:c r="G55" s="2"/>
      <x:c r="H55" s="2"/>
      <x:c r="I55" s="2"/>
      <x:c r="J55" s="2"/>
      <x:c r="K55" s="2"/>
    </x:row>
    <x:row r="56" ht="34" customHeight="1">
      <x:c r="C56" s="2" t="str">
        <x:v>Northern trade</x:v>
      </x:c>
      <x:c r="D56" s="11" t="str">
        <x:v>https://awoiaf.westeros.org/index.php/White_Harbor</x:v>
      </x:c>
      <x:c r="E56" s="11"/>
      <x:c r="F56" s="2"/>
      <x:c r="G56" s="2"/>
      <x:c r="H56" s="2"/>
      <x:c r="I56" s="2"/>
      <x:c r="J56" s="2"/>
      <x:c r="K56" s="2"/>
    </x:row>
    <x:row r="57" ht="50" customHeight="1">
      <x:c r="C57" s="2" t="str">
        <x:v>Trade evidence</x:v>
      </x:c>
      <x:c r="D57" s="11" t="str">
        <x:v>White Harbor is the main northern trading port; the setting supports timber, wool, hides, fishing, brewing, shipbuilding and silverwork. The exact 126 AC trade mix is a simulation choice.</x:v>
      </x:c>
      <x:c r="E57" s="11"/>
      <x:c r="F57" s="2"/>
      <x:c r="G57" s="2"/>
      <x:c r="H57" s="2"/>
      <x:c r="I57" s="2"/>
      <x:c r="J57" s="2"/>
      <x:c r="K57" s="2"/>
    </x:row>
    <x:row r="58" ht="34" customHeight="1">
      <x:c r="C58" s="2" t="str">
        <x:v>Ship forms</x:v>
      </x:c>
      <x:c r="D58" s="11" t="str">
        <x:v>https://awoiaf.westeros.org/index.php/Watercraft</x:v>
      </x:c>
      <x:c r="E58" s="11"/>
      <x:c r="F58" s="2"/>
      <x:c r="G58" s="2"/>
      <x:c r="H58" s="2"/>
      <x:c r="I58" s="2"/>
      <x:c r="J58" s="2"/>
      <x:c r="K58" s="2"/>
    </x:row>
    <x:row r="59" ht="50" customHeight="1">
      <x:c r="C59" s="2" t="str">
        <x:v>Ship evidence</x:v>
      </x:c>
      <x:c r="D59" s="11" t="str">
        <x:v>Ship classes and oared galley forms inform the schedules. Crew mixes, tonnages, build costs and operating rates here are simulation assumptions, not a 126 AC fleet census.</x:v>
      </x:c>
      <x:c r="E59" s="11"/>
      <x:c r="F59" s="2"/>
      <x:c r="G59" s="2"/>
      <x:c r="H59" s="2"/>
      <x:c r="I59" s="2"/>
      <x:c r="J59" s="2"/>
      <x:c r="K59" s="2"/>
    </x:row>
    <x:row r="60" ht="34" customHeight="1">
      <x:c r="C60" s="2" t="str">
        <x:v>Source access date</x:v>
      </x:c>
      <x:c r="D60" s="11" t="str">
        <x:v>10 October 2026. No source supplies a complete canonical price list.</x:v>
      </x:c>
      <x:c r="E60" s="11"/>
      <x:c r="F60" s="2"/>
      <x:c r="G60" s="2"/>
      <x:c r="H60" s="2"/>
      <x:c r="I60" s="2"/>
      <x:c r="J60" s="2"/>
      <x:c r="K60" s="2"/>
    </x:row>
    <x:row r="61" ht="26" customHeight="1"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26" customHeight="1"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26" customHeight="1"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40" customHeight="1">
      <x:c r="C64" s="8" t="str">
        <x:v>Anchor code</x:v>
      </x:c>
      <x:c r="D64" s="8" t="str">
        <x:v>Original fiscal item</x:v>
      </x:c>
      <x:c r="E64" s="8" t="str">
        <x:v>Unit</x:v>
      </x:c>
      <x:c r="F64" s="8" t="str">
        <x:v>Current GD / unit</x:v>
      </x:c>
      <x:c r="G64" s="8" t="str">
        <x:v>Source cell and treatment</x:v>
      </x:c>
      <x:c r="H64" s="2"/>
      <x:c r="I64" s="2"/>
      <x:c r="J64" s="2"/>
      <x:c r="K64" s="2"/>
    </x:row>
    <x:row r="65" ht="39" customHeight="1">
      <x:c r="C65" s="2" t="str">
        <x:v>rye</x:v>
      </x:c>
      <x:c r="D65" s="11" t="str">
        <x:v>Rye</x:v>
      </x:c>
      <x:c r="E65" s="11" t="str">
        <x:v>quarter</x:v>
      </x:c>
      <x:c r="F65" s="16" t="n">
        <x:v>0.06311207760259036</x:v>
      </x:c>
      <x:c r="G65" s="11" t="str">
        <x:v>Prices!G7. Preserved current anchor.</x:v>
      </x:c>
      <x:c r="H65" s="2"/>
      <x:c r="I65" s="2"/>
      <x:c r="J65" s="2"/>
      <x:c r="K65" s="2"/>
    </x:row>
    <x:row r="66" ht="39" customHeight="1">
      <x:c r="C66" s="2" t="str">
        <x:v>barley</x:v>
      </x:c>
      <x:c r="D66" s="11" t="str">
        <x:v>Barley</x:v>
      </x:c>
      <x:c r="E66" s="11" t="str">
        <x:v>quarter</x:v>
      </x:c>
      <x:c r="F66" s="16" t="n">
        <x:v>0.07212808868867471</x:v>
      </x:c>
      <x:c r="G66" s="11" t="str">
        <x:v>Prices!G8. Preserved current anchor.</x:v>
      </x:c>
      <x:c r="H66" s="2"/>
      <x:c r="I66" s="2"/>
      <x:c r="J66" s="2"/>
      <x:c r="K66" s="2"/>
    </x:row>
    <x:row r="67" ht="39" customHeight="1">
      <x:c r="C67" s="2" t="str">
        <x:v>oats</x:v>
      </x:c>
      <x:c r="D67" s="11" t="str">
        <x:v>Oats</x:v>
      </x:c>
      <x:c r="E67" s="11" t="str">
        <x:v>quarter</x:v>
      </x:c>
      <x:c r="F67" s="16" t="n">
        <x:v>0.045080055430421685</x:v>
      </x:c>
      <x:c r="G67" s="11" t="str">
        <x:v>Prices!G9. Preserved current anchor.</x:v>
      </x:c>
      <x:c r="H67" s="2"/>
      <x:c r="I67" s="2"/>
      <x:c r="J67" s="2"/>
      <x:c r="K67" s="2"/>
    </x:row>
    <x:row r="68" ht="39" customHeight="1">
      <x:c r="C68" s="2" t="str">
        <x:v>beans</x:v>
      </x:c>
      <x:c r="D68" s="11" t="str">
        <x:v>Peas and beans</x:v>
      </x:c>
      <x:c r="E68" s="11" t="str">
        <x:v>quarter</x:v>
      </x:c>
      <x:c r="F68" s="16" t="n">
        <x:v>0.09016011086084337</x:v>
      </x:c>
      <x:c r="G68" s="11" t="str">
        <x:v>Prices!G10. Preserved current anchor.</x:v>
      </x:c>
      <x:c r="H68" s="2"/>
      <x:c r="I68" s="2"/>
      <x:c r="J68" s="2"/>
      <x:c r="K68" s="2"/>
    </x:row>
    <x:row r="69" ht="39" customHeight="1">
      <x:c r="C69" s="2" t="str">
        <x:v>wheat</x:v>
      </x:c>
      <x:c r="D69" s="11" t="str">
        <x:v>Wheat</x:v>
      </x:c>
      <x:c r="E69" s="11" t="str">
        <x:v>quarter</x:v>
      </x:c>
      <x:c r="F69" s="16" t="n">
        <x:v>0.10819213303301203</x:v>
      </x:c>
      <x:c r="G69" s="11" t="str">
        <x:v>Prices!G11. Preserved current anchor.</x:v>
      </x:c>
      <x:c r="H69" s="2"/>
      <x:c r="I69" s="2"/>
      <x:c r="J69" s="2"/>
      <x:c r="K69" s="2"/>
    </x:row>
    <x:row r="70" ht="39" customHeight="1">
      <x:c r="C70" s="2" t="str">
        <x:v>farmworker</x:v>
      </x:c>
      <x:c r="D70" s="11" t="str">
        <x:v>Permanent farmworker cash pay</x:v>
      </x:c>
      <x:c r="E70" s="11" t="str">
        <x:v>worker-year; grain additional</x:v>
      </x:c>
      <x:c r="F70" s="16" t="n">
        <x:v>0.5680086984233133</x:v>
      </x:c>
      <x:c r="G70" s="11" t="str">
        <x:v>Prices!G12. Preserved current anchor.</x:v>
      </x:c>
      <x:c r="H70" s="2"/>
      <x:c r="I70" s="2"/>
      <x:c r="J70" s="2"/>
      <x:c r="K70" s="2"/>
    </x:row>
    <x:row r="71" ht="39" customHeight="1">
      <x:c r="C71" s="2" t="str">
        <x:v>harvestday</x:v>
      </x:c>
      <x:c r="D71" s="11" t="str">
        <x:v>Seasonal harvest labor</x:v>
      </x:c>
      <x:c r="E71" s="11" t="str">
        <x:v>worker-day; cash only</x:v>
      </x:c>
      <x:c r="F71" s="16" t="n">
        <x:v>0.0019320023755895006</x:v>
      </x:c>
      <x:c r="G71" s="11" t="str">
        <x:v>Prices!G13. Preserved current anchor.</x:v>
      </x:c>
      <x:c r="H71" s="2"/>
      <x:c r="I71" s="2"/>
      <x:c r="J71" s="2"/>
      <x:c r="K71" s="2"/>
    </x:row>
    <x:row r="72" ht="39" customHeight="1">
      <x:c r="C72" s="2" t="str">
        <x:v>ox</x:v>
      </x:c>
      <x:c r="D72" s="11" t="str">
        <x:v>Replacement working ox</x:v>
      </x:c>
      <x:c r="E72" s="11" t="str">
        <x:v>head</x:v>
      </x:c>
      <x:c r="F72" s="16" t="n">
        <x:v>0.9466811640388554</x:v>
      </x:c>
      <x:c r="G72" s="11" t="str">
        <x:v>Prices!G14. Preserved current anchor.</x:v>
      </x:c>
      <x:c r="H72" s="2"/>
      <x:c r="I72" s="2"/>
      <x:c r="J72" s="2"/>
      <x:c r="K72" s="2"/>
    </x:row>
    <x:row r="73" ht="39" customHeight="1">
      <x:c r="C73" s="2" t="str">
        <x:v>sheep</x:v>
      </x:c>
      <x:c r="D73" s="11" t="str">
        <x:v>Breeding-quality sheep</x:v>
      </x:c>
      <x:c r="E73" s="11" t="str">
        <x:v>head</x:v>
      </x:c>
      <x:c r="F73" s="16" t="n">
        <x:v>0.3155603880129518</x:v>
      </x:c>
      <x:c r="G73" s="11" t="str">
        <x:v>Prices!G15. Preserved current anchor.</x:v>
      </x:c>
      <x:c r="H73" s="2"/>
      <x:c r="I73" s="2"/>
      <x:c r="J73" s="2"/>
      <x:c r="K73" s="2"/>
    </x:row>
    <x:row r="74" ht="39" customHeight="1">
      <x:c r="C74" s="2" t="str">
        <x:v>tools</x:v>
      </x:c>
      <x:c r="D74" s="11" t="str">
        <x:v>Plough and tool maintenance</x:v>
      </x:c>
      <x:c r="E74" s="11" t="str">
        <x:v>rural household-year</x:v>
      </x:c>
      <x:c r="F74" s="16" t="n">
        <x:v>0.02840043492116566</x:v>
      </x:c>
      <x:c r="G74" s="11" t="str">
        <x:v>Prices!G16. Budget allowance or transfer; not a commodity quote.</x:v>
      </x:c>
      <x:c r="H74" s="2"/>
      <x:c r="I74" s="2"/>
      <x:c r="J74" s="2"/>
      <x:c r="K74" s="2"/>
    </x:row>
    <x:row r="75" ht="39" customHeight="1">
      <x:c r="C75" s="2" t="str">
        <x:v>sacks</x:v>
      </x:c>
      <x:c r="D75" s="11" t="str">
        <x:v>Sacks and granary consumables</x:v>
      </x:c>
      <x:c r="E75" s="11" t="str">
        <x:v>rural household-year</x:v>
      </x:c>
      <x:c r="F75" s="16" t="n">
        <x:v>0.015146898624621687</x:v>
      </x:c>
      <x:c r="G75" s="11" t="str">
        <x:v>Prices!G17. Budget allowance or transfer; not a commodity quote.</x:v>
      </x:c>
      <x:c r="H75" s="2"/>
      <x:c r="I75" s="2"/>
      <x:c r="J75" s="2"/>
      <x:c r="K75" s="2"/>
    </x:row>
    <x:row r="76" ht="39" customHeight="1">
      <x:c r="C76" s="2" t="str">
        <x:v>cart</x:v>
      </x:c>
      <x:c r="D76" s="11" t="str">
        <x:v>Cart and harness repair</x:v>
      </x:c>
      <x:c r="E76" s="11" t="str">
        <x:v>rural household-year</x:v>
      </x:c>
      <x:c r="F76" s="16" t="n">
        <x:v>0.02272034793693253</x:v>
      </x:c>
      <x:c r="G76" s="11" t="str">
        <x:v>Prices!G18. Budget allowance or transfer; not a commodity quote.</x:v>
      </x:c>
      <x:c r="H76" s="2"/>
      <x:c r="I76" s="2"/>
      <x:c r="J76" s="2"/>
      <x:c r="K76" s="2"/>
    </x:row>
    <x:row r="77" ht="39" customHeight="1">
      <x:c r="C77" s="2" t="str">
        <x:v>estateclerk</x:v>
      </x:c>
      <x:c r="D77" s="11" t="str">
        <x:v>Estate receiver and tally clerk</x:v>
      </x:c>
      <x:c r="E77" s="11" t="str">
        <x:v>receiver-year</x:v>
      </x:c>
      <x:c r="F77" s="16" t="n">
        <x:v>3.7867246561554215</x:v>
      </x:c>
      <x:c r="G77" s="11" t="str">
        <x:v>Prices!G19. Preserved current anchor.</x:v>
      </x:c>
      <x:c r="H77" s="2"/>
      <x:c r="I77" s="2"/>
      <x:c r="J77" s="2"/>
      <x:c r="K77" s="2"/>
    </x:row>
    <x:row r="78" ht="39" customHeight="1">
      <x:c r="C78" s="2" t="str">
        <x:v>graincart</x:v>
      </x:c>
      <x:c r="D78" s="11" t="str">
        <x:v>Grain cartage and store labor</x:v>
      </x:c>
      <x:c r="E78" s="11" t="str">
        <x:v>rural household-year</x:v>
      </x:c>
      <x:c r="F78" s="16" t="n">
        <x:v>0.018933623280777107</x:v>
      </x:c>
      <x:c r="G78" s="11" t="str">
        <x:v>Prices!G20. Budget allowance or transfer; not a commodity quote.</x:v>
      </x:c>
      <x:c r="H78" s="2"/>
      <x:c r="I78" s="2"/>
      <x:c r="J78" s="2"/>
      <x:c r="K78" s="2"/>
    </x:row>
    <x:row r="79" ht="39" customHeight="1">
      <x:c r="C79" s="2" t="str">
        <x:v>foot</x:v>
      </x:c>
      <x:c r="D79" s="11" t="str">
        <x:v>Foot retainer cash pay</x:v>
      </x:c>
      <x:c r="E79" s="11" t="str">
        <x:v>man-year; grain additional</x:v>
      </x:c>
      <x:c r="F79" s="16" t="n">
        <x:v>3.7867246561554215</x:v>
      </x:c>
      <x:c r="G79" s="11" t="str">
        <x:v>Prices!G21. Preserved current anchor.</x:v>
      </x:c>
      <x:c r="H79" s="2"/>
      <x:c r="I79" s="2"/>
      <x:c r="J79" s="2"/>
      <x:c r="K79" s="2"/>
    </x:row>
    <x:row r="80" ht="39" customHeight="1">
      <x:c r="C80" s="2" t="str">
        <x:v>mounted</x:v>
      </x:c>
      <x:c r="D80" s="11" t="str">
        <x:v>Mounted retainer cash pay</x:v>
      </x:c>
      <x:c r="E80" s="11" t="str">
        <x:v>man-year; grain additional</x:v>
      </x:c>
      <x:c r="F80" s="16" t="n">
        <x:v>7.573449312310843</x:v>
      </x:c>
      <x:c r="G80" s="11" t="str">
        <x:v>Prices!G22. Preserved current anchor.</x:v>
      </x:c>
      <x:c r="H80" s="2"/>
      <x:c r="I80" s="2"/>
      <x:c r="J80" s="2"/>
      <x:c r="K80" s="2"/>
    </x:row>
    <x:row r="81" ht="39" customHeight="1">
      <x:c r="C81" s="2" t="str">
        <x:v>servant</x:v>
      </x:c>
      <x:c r="D81" s="11" t="str">
        <x:v>Household servant cash pay</x:v>
      </x:c>
      <x:c r="E81" s="11" t="str">
        <x:v>person-year; grain additional</x:v>
      </x:c>
      <x:c r="F81" s="16" t="n">
        <x:v>1.1360173968466265</x:v>
      </x:c>
      <x:c r="G81" s="11" t="str">
        <x:v>Prices!G23. Preserved current anchor.</x:v>
      </x:c>
      <x:c r="H81" s="2"/>
      <x:c r="I81" s="2"/>
      <x:c r="J81" s="2"/>
      <x:c r="K81" s="2"/>
    </x:row>
    <x:row r="82" ht="39" customHeight="1">
      <x:c r="C82" s="2" t="str">
        <x:v>clerk</x:v>
      </x:c>
      <x:c r="D82" s="11" t="str">
        <x:v>Account clerk cash pay</x:v>
      </x:c>
      <x:c r="E82" s="11" t="str">
        <x:v>person-year</x:v>
      </x:c>
      <x:c r="F82" s="16" t="n">
        <x:v>5.6800869842331325</x:v>
      </x:c>
      <x:c r="G82" s="11" t="str">
        <x:v>Prices!G24. Preserved current anchor.</x:v>
      </x:c>
      <x:c r="H82" s="2"/>
      <x:c r="I82" s="2"/>
      <x:c r="J82" s="2"/>
      <x:c r="K82" s="2"/>
    </x:row>
    <x:row r="83" ht="39" customHeight="1">
      <x:c r="C83" s="2" t="str">
        <x:v>steward</x:v>
      </x:c>
      <x:c r="D83" s="11" t="str">
        <x:v>Steward cash pay</x:v>
      </x:c>
      <x:c r="E83" s="11" t="str">
        <x:v>person-year</x:v>
      </x:c>
      <x:c r="F83" s="16" t="n">
        <x:v>18.93362328077711</x:v>
      </x:c>
      <x:c r="G83" s="11" t="str">
        <x:v>Prices!G25. Preserved current anchor.</x:v>
      </x:c>
      <x:c r="H83" s="2"/>
      <x:c r="I83" s="2"/>
      <x:c r="J83" s="2"/>
      <x:c r="K83" s="2"/>
    </x:row>
    <x:row r="84" ht="39" customHeight="1">
      <x:c r="C84" s="2" t="str">
        <x:v>nongrain</x:v>
      </x:c>
      <x:c r="D84" s="11" t="str">
        <x:v>Meat, fish, dairy, ale and salt</x:v>
      </x:c>
      <x:c r="E84" s="11" t="str">
        <x:v>ration-year; grain excluded</x:v>
      </x:c>
      <x:c r="F84" s="16" t="n">
        <x:v>0.3786724656155422</x:v>
      </x:c>
      <x:c r="G84" s="11" t="str">
        <x:v>Prices!G26. Preserved current anchor.</x:v>
      </x:c>
      <x:c r="H84" s="2"/>
      <x:c r="I84" s="2"/>
      <x:c r="J84" s="2"/>
      <x:c r="K84" s="2"/>
    </x:row>
    <x:row r="85" ht="39" customHeight="1">
      <x:c r="C85" s="2" t="str">
        <x:v>livery</x:v>
      </x:c>
      <x:c r="D85" s="11" t="str">
        <x:v>Clothing and livery</x:v>
      </x:c>
      <x:c r="E85" s="11" t="str">
        <x:v>person-year</x:v>
      </x:c>
      <x:c r="F85" s="16" t="n">
        <x:v>0.1893362328077711</x:v>
      </x:c>
      <x:c r="G85" s="11" t="str">
        <x:v>Prices!G27. Preserved current anchor.</x:v>
      </x:c>
      <x:c r="H85" s="2"/>
      <x:c r="I85" s="2"/>
      <x:c r="J85" s="2"/>
      <x:c r="K85" s="2"/>
    </x:row>
    <x:row r="86" ht="39" customHeight="1">
      <x:c r="C86" s="2" t="str">
        <x:v>weapons</x:v>
      </x:c>
      <x:c r="D86" s="11" t="str">
        <x:v>Arms replacement and repair</x:v>
      </x:c>
      <x:c r="E86" s="11" t="str">
        <x:v>armed retainer-year</x:v>
      </x:c>
      <x:c r="F86" s="16" t="n">
        <x:v>0.2840043492116566</x:v>
      </x:c>
      <x:c r="G86" s="11" t="str">
        <x:v>Prices!G28. Preserved current anchor.</x:v>
      </x:c>
      <x:c r="H86" s="2"/>
      <x:c r="I86" s="2"/>
      <x:c r="J86" s="2"/>
      <x:c r="K86" s="2"/>
    </x:row>
    <x:row r="87" ht="39" customHeight="1">
      <x:c r="C87" s="2" t="str">
        <x:v>ridinghorse</x:v>
      </x:c>
      <x:c r="D87" s="11" t="str">
        <x:v>Replacement riding horse</x:v>
      </x:c>
      <x:c r="E87" s="11" t="str">
        <x:v>head</x:v>
      </x:c>
      <x:c r="F87" s="16" t="n">
        <x:v>2.8400434921165663</x:v>
      </x:c>
      <x:c r="G87" s="11" t="str">
        <x:v>Prices!G29. Preserved current anchor.</x:v>
      </x:c>
      <x:c r="H87" s="2"/>
      <x:c r="I87" s="2"/>
      <x:c r="J87" s="2"/>
      <x:c r="K87" s="2"/>
    </x:row>
    <x:row r="88" ht="39" customHeight="1">
      <x:c r="C88" s="2" t="str">
        <x:v>mason</x:v>
      </x:c>
      <x:c r="D88" s="11" t="str">
        <x:v>Masons and carpenters</x:v>
      </x:c>
      <x:c r="E88" s="11" t="str">
        <x:v>craft worker-year</x:v>
      </x:c>
      <x:c r="F88" s="16" t="n">
        <x:v>5.6800869842331325</x:v>
      </x:c>
      <x:c r="G88" s="11" t="str">
        <x:v>Prices!G30. Preserved current anchor.</x:v>
      </x:c>
      <x:c r="H88" s="2"/>
      <x:c r="I88" s="2"/>
      <x:c r="J88" s="2"/>
      <x:c r="K88" s="2"/>
    </x:row>
    <x:row r="89" ht="39" customHeight="1">
      <x:c r="C89" s="2" t="str">
        <x:v>materials</x:v>
      </x:c>
      <x:c r="D89" s="11" t="str">
        <x:v>Stone, timber, lime and hardware</x:v>
      </x:c>
      <x:c r="E89" s="11" t="str">
        <x:v>household-year contribution</x:v>
      </x:c>
      <x:c r="F89" s="16" t="n">
        <x:v>0.03786724656155421</x:v>
      </x:c>
      <x:c r="G89" s="11" t="str">
        <x:v>Prices!G31. Budget allowance or transfer; not a commodity quote.</x:v>
      </x:c>
      <x:c r="H89" s="2"/>
      <x:c r="I89" s="2"/>
      <x:c r="J89" s="2"/>
      <x:c r="K89" s="2"/>
    </x:row>
    <x:row r="90" ht="39" customHeight="1">
      <x:c r="C90" s="2" t="str">
        <x:v>road</x:v>
      </x:c>
      <x:c r="D90" s="11" t="str">
        <x:v>Road, bridge and landing work</x:v>
      </x:c>
      <x:c r="E90" s="11" t="str">
        <x:v>household-year contribution</x:v>
      </x:c>
      <x:c r="F90" s="16" t="n">
        <x:v>0.018933623280777107</x:v>
      </x:c>
      <x:c r="G90" s="11" t="str">
        <x:v>Prices!G32. Budget allowance or transfer; not a commodity quote.</x:v>
      </x:c>
      <x:c r="H90" s="2"/>
      <x:c r="I90" s="2"/>
      <x:c r="J90" s="2"/>
      <x:c r="K90" s="2"/>
    </x:row>
    <x:row r="91" ht="39" customHeight="1">
      <x:c r="C91" s="2" t="str">
        <x:v>messenger</x:v>
      </x:c>
      <x:c r="D91" s="11" t="str">
        <x:v>Raven, courier and travel costs</x:v>
      </x:c>
      <x:c r="E91" s="11" t="str">
        <x:v>household-year contribution</x:v>
      </x:c>
      <x:c r="F91" s="16" t="n">
        <x:v>0.009466811640388553</x:v>
      </x:c>
      <x:c r="G91" s="11" t="str">
        <x:v>Prices!G33. Budget allowance or transfer; not a commodity quote.</x:v>
      </x:c>
      <x:c r="H91" s="2"/>
      <x:c r="I91" s="2"/>
      <x:c r="J91" s="2"/>
      <x:c r="K91" s="2"/>
    </x:row>
    <x:row r="92" ht="39" customHeight="1">
      <x:c r="C92" s="2" t="str">
        <x:v>religion</x:v>
      </x:c>
      <x:c r="D92" s="11" t="str">
        <x:v>Godswood care and ordinary alms</x:v>
      </x:c>
      <x:c r="E92" s="11" t="str">
        <x:v>household-year contribution</x:v>
      </x:c>
      <x:c r="F92" s="16" t="n">
        <x:v>0.0056800869842331325</x:v>
      </x:c>
      <x:c r="G92" s="11" t="str">
        <x:v>Prices!G34. Budget allowance or transfer; not a commodity quote.</x:v>
      </x:c>
      <x:c r="H92" s="2"/>
      <x:c r="I92" s="2"/>
      <x:c r="J92" s="2"/>
      <x:c r="K92" s="2"/>
    </x:row>
    <x:row r="93" ht="39" customHeight="1">
      <x:c r="C93" s="2" t="str">
        <x:v>sept</x:v>
      </x:c>
      <x:c r="D93" s="11" t="str">
        <x:v>Manderly sept support</x:v>
      </x:c>
      <x:c r="E93" s="11" t="str">
        <x:v>annual establishment</x:v>
      </x:c>
      <x:c r="F93" s="16" t="n">
        <x:v>37.86724656155422</x:v>
      </x:c>
      <x:c r="G93" s="11" t="str">
        <x:v>Prices!G35. Budget allowance or transfer; not a commodity quote.</x:v>
      </x:c>
      <x:c r="H93" s="2"/>
      <x:c r="I93" s="2"/>
      <x:c r="J93" s="2"/>
      <x:c r="K93" s="2"/>
    </x:row>
    <x:row r="94" ht="39" customHeight="1">
      <x:c r="C94" s="2" t="str">
        <x:v>watchcash</x:v>
      </x:c>
      <x:c r="D94" s="11" t="str">
        <x:v>Stark cash gift to the Watch</x:v>
      </x:c>
      <x:c r="E94" s="11" t="str">
        <x:v>annual gift</x:v>
      </x:c>
      <x:c r="F94" s="16" t="n">
        <x:v>1893.3623280777108</x:v>
      </x:c>
      <x:c r="G94" s="11" t="str">
        <x:v>Prices!G36. Budget allowance or transfer; not a commodity quote.</x:v>
      </x:c>
      <x:c r="H94" s="2"/>
      <x:c r="I94" s="2"/>
      <x:c r="J94" s="2"/>
      <x:c r="K94" s="2"/>
    </x:row>
    <x:row r="95" ht="39" customHeight="1">
      <x:c r="C95" s="2" t="str">
        <x:v>salt</x:v>
      </x:c>
      <x:c r="D95" s="11" t="str">
        <x:v>Salt</x:v>
      </x:c>
      <x:c r="E95" s="11" t="str">
        <x:v>stone of 14 lb</x:v>
      </x:c>
      <x:c r="F95" s="16" t="n">
        <x:v>0.018032022172168677</x:v>
      </x:c>
      <x:c r="G95" s="11" t="str">
        <x:v>Prices!G37. Preserved current anchor.</x:v>
      </x:c>
      <x:c r="H95" s="2"/>
      <x:c r="I95" s="2"/>
      <x:c r="J95" s="2"/>
      <x:c r="K95" s="2"/>
    </x:row>
    <x:row r="96" ht="39" customHeight="1">
      <x:c r="C96" s="2" t="str">
        <x:v>wool</x:v>
      </x:c>
      <x:c r="D96" s="11" t="str">
        <x:v>Raw wool</x:v>
      </x:c>
      <x:c r="E96" s="11" t="str">
        <x:v>stone of 14 lb</x:v>
      </x:c>
      <x:c r="F96" s="16" t="n">
        <x:v>0.05409606651650602</x:v>
      </x:c>
      <x:c r="G96" s="11" t="str">
        <x:v>Prices!G38. Preserved current anchor.</x:v>
      </x:c>
      <x:c r="H96" s="2"/>
      <x:c r="I96" s="2"/>
      <x:c r="J96" s="2"/>
      <x:c r="K96" s="2"/>
    </x:row>
    <x:row r="97" ht="39" customHeight="1">
      <x:c r="C97" s="2" t="str">
        <x:v>cattle</x:v>
      </x:c>
      <x:c r="D97" s="11" t="str">
        <x:v>Slaughter cattle</x:v>
      </x:c>
      <x:c r="E97" s="11" t="str">
        <x:v>head</x:v>
      </x:c>
      <x:c r="F97" s="16" t="n">
        <x:v>1.3253536296543975</x:v>
      </x:c>
      <x:c r="G97" s="11" t="str">
        <x:v>Prices!G39. Preserved current anchor.</x:v>
      </x:c>
      <x:c r="H97" s="2"/>
      <x:c r="I97" s="2"/>
      <x:c r="J97" s="2"/>
      <x:c r="K97" s="2"/>
    </x:row>
    <x:row r="98" ht="39" customHeight="1">
      <x:c r="C98" s="2" t="str">
        <x:v>pig</x:v>
      </x:c>
      <x:c r="D98" s="11" t="str">
        <x:v>Pig</x:v>
      </x:c>
      <x:c r="E98" s="11" t="str">
        <x:v>head</x:v>
      </x:c>
      <x:c r="F98" s="16" t="n">
        <x:v>0.3786724656155422</x:v>
      </x:c>
      <x:c r="G98" s="11" t="str">
        <x:v>Prices!G40. Preserved current anchor.</x:v>
      </x:c>
      <x:c r="H98" s="2"/>
      <x:c r="I98" s="2"/>
      <x:c r="J98" s="2"/>
      <x:c r="K98" s="2"/>
    </x:row>
    <x:row r="99" ht="39" customHeight="1">
      <x:c r="C99" s="2" t="str">
        <x:v>timber</x:v>
      </x:c>
      <x:c r="D99" s="11" t="str">
        <x:v>Dressed timber delivered locally</x:v>
      </x:c>
      <x:c r="E99" s="11" t="str">
        <x:v>cartload</x:v>
      </x:c>
      <x:c r="F99" s="16" t="n">
        <x:v>0.3786724656155422</x:v>
      </x:c>
      <x:c r="G99" s="11" t="str">
        <x:v>Prices!G41. Preserved current anchor.</x:v>
      </x:c>
      <x:c r="H99" s="2"/>
      <x:c r="I99" s="2"/>
      <x:c r="J99" s="2"/>
      <x:c r="K99" s="2"/>
    </x:row>
    <x:row r="100" ht="39" customHeight="1">
      <x:c r="C100" s="2" t="str">
        <x:v>iron</x:v>
      </x:c>
      <x:c r="D100" s="11" t="str">
        <x:v>Worked iron</x:v>
      </x:c>
      <x:c r="E100" s="11" t="str">
        <x:v>stone of 14 lb</x:v>
      </x:c>
      <x:c r="F100" s="16" t="n">
        <x:v>0.09016011086084337</x:v>
      </x:c>
      <x:c r="G100" s="11" t="str">
        <x:v>Prices!G42. Preserved current anchor.</x:v>
      </x:c>
      <x:c r="H100" s="2"/>
      <x:c r="I100" s="2"/>
      <x:c r="J100" s="2"/>
      <x:c r="K100" s="2"/>
    </x:row>
    <x:row r="101" ht="39" customHeight="1">
      <x:c r="C101" s="2" t="str">
        <x:v>sword</x:v>
      </x:c>
      <x:c r="D101" s="11" t="str">
        <x:v>Ordinary service sword</x:v>
      </x:c>
      <x:c r="E101" s="11" t="str">
        <x:v>each</x:v>
      </x:c>
      <x:c r="F101" s="16" t="n">
        <x:v>0.9466811640388554</x:v>
      </x:c>
      <x:c r="G101" s="11" t="str">
        <x:v>Prices!G43. Preserved current anchor.</x:v>
      </x:c>
      <x:c r="H101" s="2"/>
      <x:c r="I101" s="2"/>
      <x:c r="J101" s="2"/>
      <x:c r="K101" s="2"/>
    </x:row>
    <x:row r="102" ht="39" customHeight="1">
      <x:c r="C102" s="2" t="str">
        <x:v>mail</x:v>
      </x:c>
      <x:c r="D102" s="11" t="str">
        <x:v>Mail shirt</x:v>
      </x:c>
      <x:c r="E102" s="11" t="str">
        <x:v>each</x:v>
      </x:c>
      <x:c r="F102" s="16" t="n">
        <x:v>3.7867246561554215</x:v>
      </x:c>
      <x:c r="G102" s="11" t="str">
        <x:v>Prices!G44. Preserved current anchor.</x:v>
      </x:c>
      <x:c r="H102" s="2"/>
      <x:c r="I102" s="2"/>
      <x:c r="J102" s="2"/>
      <x:c r="K102" s="2"/>
    </x:row>
    <x:row r="103" ht="39" customHeight="1">
      <x:c r="C103" s="2" t="str">
        <x:v>boat</x:v>
      </x:c>
      <x:c r="D103" s="11" t="str">
        <x:v>Small fishing boat</x:v>
      </x:c>
      <x:c r="E103" s="11" t="str">
        <x:v>new hull with basic rig</x:v>
      </x:c>
      <x:c r="F103" s="16" t="n">
        <x:v>9.466811640388554</x:v>
      </x:c>
      <x:c r="G103" s="11" t="str">
        <x:v>Prices!G45. Preserved current anchor.</x:v>
      </x:c>
      <x:c r="H103" s="2"/>
      <x:c r="I103" s="2"/>
      <x:c r="J103" s="2"/>
      <x:c r="K103" s="2"/>
    </x:row>
    <x:row r="104" ht="39" customHeight="1">
      <x:c r="C104" s="2" t="str">
        <x:v>granary</x:v>
      </x:c>
      <x:c r="D104" s="11" t="str">
        <x:v>Timber granary, 1,000-q capacity</x:v>
      </x:c>
      <x:c r="E104" s="11" t="str">
        <x:v>building; ordinary site</x:v>
      </x:c>
      <x:c r="F104" s="16" t="n">
        <x:v>189.33623280777107</x:v>
      </x:c>
      <x:c r="G104" s="11" t="str">
        <x:v>Prices!G46. Preserved current anchor.</x:v>
      </x:c>
      <x:c r="H104" s="2"/>
      <x:c r="I104" s="2"/>
      <x:c r="J104" s="2"/>
      <x:c r="K104" s="2"/>
    </x:row>
    <x:row r="105" ht="39" customHeight="1">
      <x:c r="C105" s="2" t="str">
        <x:v>stonework</x:v>
      </x:c>
      <x:c r="D105" s="11" t="str">
        <x:v>Stone curtain wall</x:v>
      </x:c>
      <x:c r="E105" s="11" t="str">
        <x:v>10-yard section; ordinary site</x:v>
      </x:c>
      <x:c r="F105" s="16" t="n">
        <x:v>284.00434921165663</x:v>
      </x:c>
      <x:c r="G105" s="11" t="str">
        <x:v>Prices!G47. Preserved current anchor.</x:v>
      </x:c>
      <x:c r="H105" s="2"/>
      <x:c r="I105" s="2"/>
      <x:c r="J105" s="2"/>
      <x:c r="K105" s="2"/>
    </x:row>
    <x:row r="106" ht="39" customHeight="1">
      <x:c r="C106" s="2" t="str">
        <x:v>cargo</x:v>
      </x:c>
      <x:c r="D106" s="11" t="str">
        <x:v>Coastal cargo vessel, about 100 tons</x:v>
      </x:c>
      <x:c r="E106" s="11" t="str">
        <x:v>hull, rig and ordinary fit-out</x:v>
      </x:c>
      <x:c r="F106" s="16" t="n">
        <x:v>1893.3623280777108</x:v>
      </x:c>
      <x:c r="G106" s="11" t="str">
        <x:v>Prices!G48. Preserved current anchor.</x:v>
      </x:c>
      <x:c r="H106" s="2"/>
      <x:c r="I106" s="2"/>
      <x:c r="J106" s="2"/>
      <x:c r="K106" s="2"/>
    </x:row>
    <x:row r="107" ht="39" customHeight="1">
      <x:c r="C107" s="2" t="str">
        <x:v>dairy</x:v>
      </x:c>
      <x:c r="D107" s="11" t="str">
        <x:v>Milk and dairy at milk-equivalent weight</x:v>
      </x:c>
      <x:c r="E107" s="11" t="str">
        <x:v>stone of 14 lb</x:v>
      </x:c>
      <x:c r="F107" s="16" t="n">
        <x:v>0.018933623280777107</x:v>
      </x:c>
      <x:c r="G107" s="11" t="str">
        <x:v>Prices!G49. Preserved current anchor.</x:v>
      </x:c>
      <x:c r="H107" s="2"/>
      <x:c r="I107" s="2"/>
      <x:c r="J107" s="2"/>
      <x:c r="K107" s="2"/>
    </x:row>
    <x:row r="108" ht="39" customHeight="1">
      <x:c r="C108" s="2" t="str">
        <x:v>fish</x:v>
      </x:c>
      <x:c r="D108" s="11" t="str">
        <x:v>Preserved fish</x:v>
      </x:c>
      <x:c r="E108" s="11" t="str">
        <x:v>stone of 14 lb</x:v>
      </x:c>
      <x:c r="F108" s="16" t="n">
        <x:v>0.09277475407580782</x:v>
      </x:c>
      <x:c r="G108" s="11" t="str">
        <x:v>Prices!G50. Preserved current anchor.</x:v>
      </x:c>
      <x:c r="H108" s="2"/>
      <x:c r="I108" s="2"/>
      <x:c r="J108" s="2"/>
      <x:c r="K108" s="2"/>
    </x:row>
    <x:row r="109" ht="26" customHeight="1"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 ht="26" customHeight="1"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 ht="26" customHeight="1"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 ht="26" customHeight="1"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 ht="26" customHeight="1"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 ht="40" customHeight="1">
      <x:c r="C114" s="8" t="str">
        <x:v>Vessel</x:v>
      </x:c>
      <x:c r="D114" s="8" t="str">
        <x:v>Anchor</x:v>
      </x:c>
      <x:c r="E114" s="8" t="str">
        <x:v>Build factor</x:v>
      </x:c>
      <x:c r="F114" s="2"/>
      <x:c r="G114" s="2"/>
      <x:c r="H114" s="2"/>
      <x:c r="I114" s="2"/>
      <x:c r="J114" s="2"/>
      <x:c r="K114" s="2"/>
    </x:row>
    <x:row r="115" ht="26" customHeight="1">
      <x:c r="C115" s="2" t="str">
        <x:v>Fishing boat</x:v>
      </x:c>
      <x:c r="D115" s="2" t="str">
        <x:v>boat</x:v>
      </x:c>
      <x:c r="E115" s="9" t="n">
        <x:v>1</x:v>
      </x:c>
      <x:c r="F115" s="2"/>
      <x:c r="G115" s="2"/>
      <x:c r="H115" s="2"/>
      <x:c r="I115" s="2"/>
      <x:c r="J115" s="2"/>
      <x:c r="K115" s="2"/>
    </x:row>
    <x:row r="116" ht="26" customHeight="1">
      <x:c r="C116" s="2" t="str">
        <x:v>River cargo barge</x:v>
      </x:c>
      <x:c r="D116" s="2" t="str">
        <x:v>boat</x:v>
      </x:c>
      <x:c r="E116" s="9" t="n">
        <x:v>12</x:v>
      </x:c>
      <x:c r="F116" s="2"/>
      <x:c r="G116" s="2"/>
      <x:c r="H116" s="2"/>
      <x:c r="I116" s="2"/>
      <x:c r="J116" s="2"/>
      <x:c r="K116" s="2"/>
    </x:row>
    <x:row r="117" ht="26" customHeight="1">
      <x:c r="C117" s="2" t="str">
        <x:v>Small coastal trader</x:v>
      </x:c>
      <x:c r="D117" s="2" t="str">
        <x:v>cargo</x:v>
      </x:c>
      <x:c r="E117" s="9" t="n">
        <x:v>0.4</x:v>
      </x:c>
      <x:c r="F117" s="2"/>
      <x:c r="G117" s="2"/>
      <x:c r="H117" s="2"/>
      <x:c r="I117" s="2"/>
      <x:c r="J117" s="2"/>
      <x:c r="K117" s="2"/>
    </x:row>
    <x:row r="118" ht="26" customHeight="1">
      <x:c r="C118" s="2" t="str">
        <x:v>Merchant cog</x:v>
      </x:c>
      <x:c r="D118" s="2" t="str">
        <x:v>cargo</x:v>
      </x:c>
      <x:c r="E118" s="9" t="n">
        <x:v>1</x:v>
      </x:c>
      <x:c r="F118" s="2"/>
      <x:c r="G118" s="2"/>
      <x:c r="H118" s="2"/>
      <x:c r="I118" s="2"/>
      <x:c r="J118" s="2"/>
      <x:c r="K118" s="2"/>
    </x:row>
    <x:row r="119" ht="26" customHeight="1">
      <x:c r="C119" s="2" t="str">
        <x:v>Large merchant carrack</x:v>
      </x:c>
      <x:c r="D119" s="2" t="str">
        <x:v>cargo</x:v>
      </x:c>
      <x:c r="E119" s="9" t="n">
        <x:v>2.7</x:v>
      </x:c>
      <x:c r="F119" s="2"/>
      <x:c r="G119" s="2"/>
      <x:c r="H119" s="2"/>
      <x:c r="I119" s="2"/>
      <x:c r="J119" s="2"/>
      <x:c r="K119" s="2"/>
    </x:row>
    <x:row r="120" ht="26" customHeight="1">
      <x:c r="C120" s="2" t="str">
        <x:v>Forty-oar longship</x:v>
      </x:c>
      <x:c r="D120" s="2" t="str">
        <x:v>cargo</x:v>
      </x:c>
      <x:c r="E120" s="9" t="n">
        <x:v>0.45</x:v>
      </x:c>
      <x:c r="F120" s="2"/>
      <x:c r="G120" s="2"/>
      <x:c r="H120" s="2"/>
      <x:c r="I120" s="2"/>
      <x:c r="J120" s="2"/>
      <x:c r="K120" s="2"/>
    </x:row>
    <x:row r="121" ht="26" customHeight="1">
      <x:c r="C121" s="2" t="str">
        <x:v>Hundred-oar war galley</x:v>
      </x:c>
      <x:c r="D121" s="2" t="str">
        <x:v>cargo</x:v>
      </x:c>
      <x:c r="E121" s="9" t="n">
        <x:v>2.4</x:v>
      </x:c>
      <x:c r="F121" s="2"/>
      <x:c r="G121" s="2"/>
      <x:c r="H121" s="2"/>
      <x:c r="I121" s="2"/>
      <x:c r="J121" s="2"/>
      <x:c r="K121" s="2"/>
    </x:row>
    <x:row r="122" ht="26" customHeight="1">
      <x:c r="C122" s="2" t="str">
        <x:v>Two-hundred-oar great galley</x:v>
      </x:c>
      <x:c r="D122" s="2" t="str">
        <x:v>cargo</x:v>
      </x:c>
      <x:c r="E122" s="9" t="n">
        <x:v>4.5</x:v>
      </x:c>
      <x:c r="F122" s="2"/>
      <x:c r="G122" s="2"/>
      <x:c r="H122" s="2"/>
      <x:c r="I122" s="2"/>
      <x:c r="J122" s="2"/>
      <x:c r="K122" s="2"/>
    </x:row>
    <x:row r="123" ht="26" customHeight="1">
      <x:c r="C123" s="2"/>
      <x:c r="D123" s="2"/>
      <x:c r="E123" s="2"/>
      <x:c r="F123" s="2"/>
      <x:c r="G123" s="2"/>
      <x:c r="H123" s="2"/>
      <x:c r="I123" s="2"/>
      <x:c r="J123" s="2"/>
      <x:c r="K123" s="2"/>
    </x:row>
    <x:row r="124" ht="26" customHeight="1">
      <x:c r="C124" s="2"/>
      <x:c r="D124" s="2"/>
      <x:c r="E124" s="2"/>
      <x:c r="F124" s="2"/>
      <x:c r="G124" s="2"/>
      <x:c r="H124" s="2"/>
      <x:c r="I124" s="2"/>
      <x:c r="J124" s="2"/>
      <x:c r="K124" s="2"/>
    </x:row>
    <x:row r="125" ht="26" customHeight="1">
      <x:c r="C125" s="2"/>
      <x:c r="D125" s="2"/>
      <x:c r="E125" s="2"/>
      <x:c r="F125" s="2"/>
      <x:c r="G125" s="2"/>
      <x:c r="H125" s="2"/>
      <x:c r="I125" s="2"/>
      <x:c r="J125" s="2"/>
      <x:c r="K125" s="2"/>
    </x:row>
    <x:row r="126" ht="26" customHeight="1">
      <x:c r="C126" s="2"/>
      <x:c r="D126" s="2"/>
      <x:c r="E126" s="2"/>
      <x:c r="F126" s="2"/>
      <x:c r="G126" s="2"/>
      <x:c r="H126" s="2"/>
      <x:c r="I126" s="2"/>
      <x:c r="J126" s="2"/>
      <x:c r="K126" s="2"/>
    </x:row>
    <x:row r="127" ht="26" customHeight="1">
      <x:c r="C127" s="2"/>
      <x:c r="D127" s="2"/>
      <x:c r="E127" s="2"/>
      <x:c r="F127" s="2"/>
      <x:c r="G127" s="2"/>
      <x:c r="H127" s="2"/>
      <x:c r="I127" s="2"/>
      <x:c r="J127" s="2"/>
      <x:c r="K127" s="2"/>
    </x:row>
    <x:row r="128" ht="26" customHeight="1">
      <x:c r="C128" s="2"/>
      <x:c r="D128" s="2"/>
      <x:c r="E128" s="2"/>
      <x:c r="F128" s="2"/>
      <x:c r="G128" s="2"/>
      <x:c r="H128" s="2"/>
      <x:c r="I128" s="2"/>
      <x:c r="J128" s="2"/>
      <x:c r="K128" s="2"/>
    </x:row>
    <x:row r="129" ht="26" customHeight="1">
      <x:c r="C129" s="2"/>
      <x:c r="D129" s="2"/>
      <x:c r="E129" s="2"/>
      <x:c r="F129" s="2"/>
      <x:c r="G129" s="2"/>
      <x:c r="H129" s="2"/>
      <x:c r="I129" s="2"/>
      <x:c r="J129" s="2"/>
      <x:c r="K129" s="2"/>
    </x:row>
    <x:row r="130" ht="26" customHeight="1">
      <x:c r="C130" s="2"/>
      <x:c r="D130" s="2"/>
      <x:c r="E130" s="2"/>
      <x:c r="F130" s="2"/>
      <x:c r="G130" s="2"/>
      <x:c r="H130" s="2"/>
      <x:c r="I130" s="2"/>
      <x:c r="J130" s="2"/>
      <x:c r="K130" s="2"/>
    </x:row>
    <x:row r="131" ht="26" customHeight="1">
      <x:c r="C131" s="2"/>
      <x:c r="D131" s="2"/>
      <x:c r="E131" s="2"/>
      <x:c r="F131" s="2"/>
      <x:c r="G131" s="2"/>
      <x:c r="H131" s="2"/>
      <x:c r="I131" s="2"/>
      <x:c r="J131" s="2"/>
      <x:c r="K131" s="2"/>
    </x:row>
    <x:row r="132" ht="26" customHeight="1">
      <x:c r="C132" s="2"/>
      <x:c r="D132" s="2"/>
      <x:c r="E132" s="2"/>
      <x:c r="F132" s="2"/>
      <x:c r="G132" s="2"/>
      <x:c r="H132" s="2"/>
      <x:c r="I132" s="2"/>
      <x:c r="J132" s="2"/>
      <x:c r="K132" s="2"/>
    </x:row>
    <x:row r="133" ht="26" customHeight="1">
      <x:c r="C133" s="2"/>
      <x:c r="D133" s="2"/>
      <x:c r="E133" s="2"/>
      <x:c r="F133" s="2"/>
      <x:c r="G133" s="2"/>
      <x:c r="H133" s="2"/>
      <x:c r="I133" s="2"/>
      <x:c r="J133" s="2"/>
      <x:c r="K133" s="2"/>
    </x:row>
    <x:row r="134" ht="26" customHeight="1">
      <x:c r="C134" s="2"/>
      <x:c r="D134" s="2"/>
      <x:c r="E134" s="2"/>
      <x:c r="F134" s="2"/>
      <x:c r="G134" s="2"/>
      <x:c r="H134" s="2"/>
      <x:c r="I134" s="2"/>
      <x:c r="J134" s="2"/>
      <x:c r="K134" s="2"/>
    </x:row>
    <x:row r="135" ht="26" customHeight="1">
      <x:c r="C135" s="2"/>
      <x:c r="D135" s="2"/>
      <x:c r="E135" s="2"/>
      <x:c r="F135" s="2"/>
      <x:c r="G135" s="2"/>
      <x:c r="H135" s="2"/>
      <x:c r="I135" s="2"/>
      <x:c r="J135" s="2"/>
      <x:c r="K135" s="2"/>
    </x:row>
    <x:row r="136" ht="26" customHeight="1">
      <x:c r="C136" s="2"/>
      <x:c r="D136" s="2"/>
      <x:c r="E136" s="2"/>
      <x:c r="F136" s="2"/>
      <x:c r="G136" s="2"/>
      <x:c r="H136" s="2"/>
      <x:c r="I136" s="2"/>
      <x:c r="J136" s="2"/>
      <x:c r="K136" s="2"/>
    </x:row>
    <x:row r="137" ht="26" customHeight="1">
      <x:c r="C137" s="2"/>
      <x:c r="D137" s="2"/>
      <x:c r="E137" s="2"/>
      <x:c r="F137" s="2"/>
      <x:c r="G137" s="2"/>
      <x:c r="H137" s="2"/>
      <x:c r="I137" s="2"/>
      <x:c r="J137" s="2"/>
      <x:c r="K137" s="2"/>
    </x:row>
    <x:row r="138" ht="26" customHeight="1">
      <x:c r="C138" s="2"/>
      <x:c r="D138" s="2"/>
      <x:c r="E138" s="2"/>
      <x:c r="F138" s="2"/>
      <x:c r="G138" s="2"/>
      <x:c r="H138" s="2"/>
      <x:c r="I138" s="2"/>
      <x:c r="J138" s="2"/>
      <x:c r="K138" s="2"/>
    </x:row>
    <x:row r="139" ht="26" customHeight="1">
      <x:c r="C139" s="2"/>
      <x:c r="D139" s="2"/>
      <x:c r="E139" s="2"/>
      <x:c r="F139" s="2"/>
      <x:c r="G139" s="2"/>
      <x:c r="H139" s="2"/>
      <x:c r="I139" s="2"/>
      <x:c r="J139" s="2"/>
      <x:c r="K139" s="2"/>
    </x:row>
    <x:row r="140" ht="26" customHeight="1">
      <x:c r="C140" s="2"/>
      <x:c r="D140" s="2"/>
      <x:c r="E140" s="2"/>
      <x:c r="F140" s="2"/>
      <x:c r="G140" s="2"/>
      <x:c r="H140" s="2"/>
      <x:c r="I140" s="2"/>
      <x:c r="J140" s="2"/>
      <x:c r="K140" s="2"/>
    </x:row>
    <x:row r="141" ht="26" customHeight="1">
      <x:c r="C141" s="2"/>
      <x:c r="D141" s="2"/>
      <x:c r="E141" s="2"/>
      <x:c r="F141" s="2"/>
      <x:c r="G141" s="2"/>
      <x:c r="H141" s="2"/>
      <x:c r="I141" s="2"/>
      <x:c r="J141" s="2"/>
      <x:c r="K141" s="2"/>
    </x:row>
    <x:row r="142" ht="26" customHeight="1">
      <x:c r="C142" s="2"/>
      <x:c r="D142" s="2"/>
      <x:c r="E142" s="2"/>
      <x:c r="F142" s="2"/>
      <x:c r="G142" s="2"/>
      <x:c r="H142" s="2"/>
      <x:c r="I142" s="2"/>
      <x:c r="J142" s="2"/>
      <x:c r="K142" s="2"/>
    </x:row>
    <x:row r="143" ht="26" customHeight="1">
      <x:c r="C143" s="2"/>
      <x:c r="D143" s="2"/>
      <x:c r="E143" s="2"/>
      <x:c r="F143" s="2"/>
      <x:c r="G143" s="2"/>
      <x:c r="H143" s="2"/>
      <x:c r="I143" s="2"/>
      <x:c r="J143" s="2"/>
      <x:c r="K143" s="2"/>
    </x:row>
    <x:row r="144" ht="26" customHeight="1">
      <x:c r="C144" s="2"/>
      <x:c r="D144" s="2"/>
      <x:c r="E144" s="2"/>
      <x:c r="F144" s="2"/>
      <x:c r="G144" s="2"/>
      <x:c r="H144" s="2"/>
      <x:c r="I144" s="2"/>
      <x:c r="J144" s="2"/>
      <x:c r="K144" s="2"/>
    </x:row>
    <x:row r="145" ht="26" customHeight="1">
      <x:c r="C145" s="2"/>
      <x:c r="D145" s="2"/>
      <x:c r="E145" s="2"/>
      <x:c r="F145" s="2"/>
      <x:c r="G145" s="2"/>
      <x:c r="H145" s="2"/>
      <x:c r="I145" s="2"/>
      <x:c r="J145" s="2"/>
      <x:c r="K145" s="2"/>
    </x:row>
    <x:row r="146" ht="26" customHeight="1">
      <x:c r="C146" s="2"/>
      <x:c r="D146" s="2"/>
      <x:c r="E146" s="2"/>
      <x:c r="F146" s="2"/>
      <x:c r="G146" s="2"/>
      <x:c r="H146" s="2"/>
      <x:c r="I146" s="2"/>
      <x:c r="J146" s="2"/>
      <x:c r="K146" s="2"/>
    </x:row>
    <x:row r="147" ht="26" customHeight="1">
      <x:c r="C147" s="2"/>
      <x:c r="D147" s="2"/>
      <x:c r="E147" s="2"/>
      <x:c r="F147" s="2"/>
      <x:c r="G147" s="2"/>
      <x:c r="H147" s="2"/>
      <x:c r="I147" s="2"/>
      <x:c r="J147" s="2"/>
      <x:c r="K147" s="2"/>
    </x:row>
    <x:row r="148" ht="26" customHeight="1">
      <x:c r="C148" s="2"/>
      <x:c r="D148" s="2"/>
      <x:c r="E148" s="2"/>
      <x:c r="F148" s="2"/>
      <x:c r="G148" s="2"/>
      <x:c r="H148" s="2"/>
      <x:c r="I148" s="2"/>
      <x:c r="J148" s="2"/>
      <x:c r="K148" s="2"/>
    </x:row>
    <x:row r="149" ht="26" customHeight="1">
      <x:c r="C149" s="2"/>
      <x:c r="D149" s="2"/>
      <x:c r="E149" s="2"/>
      <x:c r="F149" s="2"/>
      <x:c r="G149" s="2"/>
      <x:c r="H149" s="2"/>
      <x:c r="I149" s="2"/>
      <x:c r="J149" s="2"/>
      <x:c r="K149" s="2"/>
    </x:row>
    <x:row r="150" ht="26" customHeight="1">
      <x:c r="C150" s="2"/>
      <x:c r="D150" s="2"/>
      <x:c r="E150" s="2"/>
      <x:c r="F150" s="2"/>
      <x:c r="G150" s="2"/>
      <x:c r="H150" s="2"/>
      <x:c r="I150" s="2"/>
      <x:c r="J150" s="2"/>
      <x:c r="K150" s="2"/>
    </x:row>
  </x:sheetData>
  <x:mergeCells>
    <x:mergeCell ref="C2:J2"/>
    <x:mergeCell ref="C4:J4"/>
    <x:mergeCell ref="C40:J40"/>
    <x:mergeCell ref="C41:J41"/>
    <x:mergeCell ref="C43:J43"/>
    <x:mergeCell ref="C45:J45"/>
    <x:mergeCell ref="C47:J47"/>
    <x:mergeCell ref="C49:J49"/>
    <x:mergeCell ref="C52:J52"/>
    <x:mergeCell ref="D53:G53"/>
    <x:mergeCell ref="D54:G54"/>
    <x:mergeCell ref="D55:G55"/>
    <x:mergeCell ref="D56:G56"/>
    <x:mergeCell ref="D57:G57"/>
    <x:mergeCell ref="D58:G58"/>
    <x:mergeCell ref="D59:G59"/>
    <x:mergeCell ref="D60:G60"/>
  </x:mergeCells>
  <x:pageMargins left="0.7" right="0.7" top="0.75" bottom="0.75" header="0.3" footer="0.3"/>
</x:worksheet>
</file>