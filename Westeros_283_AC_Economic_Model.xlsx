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9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10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worksheets/sheet18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worksheets/sheet19.xml" ContentType="application/vnd.openxmlformats-officedocument.spreadsheetml.worksheet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51eaaf2a3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db50e5027af41ca"/>
    <x:sheet xmlns:r="http://schemas.openxmlformats.org/officeDocument/2006/relationships" name="Dashboard" sheetId="2" r:id="R52cf9f756f374c4f"/>
    <x:sheet xmlns:r="http://schemas.openxmlformats.org/officeDocument/2006/relationships" name="Inputs" sheetId="3" r:id="R2e5036f3f22b4037"/>
    <x:sheet xmlns:r="http://schemas.openxmlformats.org/officeDocument/2006/relationships" name="Income" sheetId="4" r:id="R314c923f669848e5"/>
    <x:sheet xmlns:r="http://schemas.openxmlformats.org/officeDocument/2006/relationships" name="Transfers" sheetId="5" r:id="R0711ccd31ec84b2a"/>
    <x:sheet xmlns:r="http://schemas.openxmlformats.org/officeDocument/2006/relationships" name="Outlays" sheetId="6" r:id="Rada157c5384b49f2"/>
    <x:sheet xmlns:r="http://schemas.openxmlformats.org/officeDocument/2006/relationships" name="Debt" sheetId="7" r:id="Rb0ab0a6399a8476a"/>
    <x:sheet xmlns:r="http://schemas.openxmlformats.org/officeDocument/2006/relationships" name="Projects" sheetId="8" r:id="R7e79b31e3de44df3"/>
    <x:sheet xmlns:r="http://schemas.openxmlformats.org/officeDocument/2006/relationships" name="Prices" sheetId="9" r:id="Rb2e1843955644686"/>
    <x:sheet xmlns:r="http://schemas.openxmlformats.org/officeDocument/2006/relationships" name="Campaign" sheetId="10" r:id="Re8c8a644dc604f95"/>
    <x:sheet xmlns:r="http://schemas.openxmlformats.org/officeDocument/2006/relationships" name="Grain" sheetId="11" r:id="R4fd06692aab8429d"/>
    <x:sheet xmlns:r="http://schemas.openxmlformats.org/officeDocument/2006/relationships" name="Monthly" sheetId="12" r:id="R17fc8fcc4f114117"/>
    <x:sheet xmlns:r="http://schemas.openxmlformats.org/officeDocument/2006/relationships" name="Settings" sheetId="13" r:id="Rd2e3a33b81b14de5"/>
    <x:sheet xmlns:r="http://schemas.openxmlformats.org/officeDocument/2006/relationships" name="Sources" sheetId="14" r:id="Rb995f9441cf342f7"/>
    <x:sheet xmlns:r="http://schemas.openxmlformats.org/officeDocument/2006/relationships" name="Checks" sheetId="15" r:id="R510aa7bdd1c142ac"/>
    <x:sheet xmlns:r="http://schemas.openxmlformats.org/officeDocument/2006/relationships" name="Revision" sheetId="16" r:id="R06bd355c4cd042fc"/>
    <x:sheet xmlns:r="http://schemas.openxmlformats.org/officeDocument/2006/relationships" name="Cash mix" sheetId="17" r:id="R3d8833d73d264edc"/>
    <x:sheet xmlns:r="http://schemas.openxmlformats.org/officeDocument/2006/relationships" name="Goods" sheetId="18" r:id="Ra911ea86114842aa"/>
    <x:sheet xmlns:r="http://schemas.openxmlformats.org/officeDocument/2006/relationships" name="Goods detail" sheetId="19" r:id="R9c80a1a0907a4043"/>
  </x:sheets>
</x:workbook>
</file>

<file path=xl/comments1.xml><?xml version="1.0" encoding="utf-8"?>
<x:comments xmlns:x="http://schemas.openxmlformats.org/spreadsheetml/2006/main">
  <x:authors>
    <x:author>tc={7EC24B47-F3F2-74A5-D125-9EB7BED7C2C6}</x:author>
    <x:author>tc={57D9242E-9B0A-F405-19BE-235992988E16}</x:author>
    <x:author>tc={725C9CF9-816F-FB38-40BA-7C0BE2C957DC}</x:author>
    <x:author>tc={87F9B6DA-A21E-4BA6-CAE0-49D7789A7039}</x:author>
    <x:author>tc={96046299-7951-CA54-FF87-DC44D668BC53}</x:author>
    <x:author>tc={71381906-A82C-BC24-2683-EEDB61BC7D98}</x:author>
    <x:author>tc={0C9DC5AF-F479-7A56-818E-1567C8295DB6}</x:author>
    <x:author>tc={FF7AEA74-46AD-3386-CDD3-ED3DF615E819}</x:author>
    <x:author>tc={FC7B1FA3-126E-5F2F-613C-6345D1DCB43B}</x:author>
    <x:author>tc={E7049549-9F4A-5C9D-0B8C-DE3D9FDB2B75}</x:author>
    <x:author>tc={939FA382-C12F-4AC9-2042-EEE6C360BAC7}</x:author>
    <x:author>tc={C1F4231D-54C4-AE24-909F-41C1CC57353C}</x:author>
    <x:author>tc={76468FAD-17EF-B6B7-17D0-885517DF0C89}</x:author>
    <x:author>tc={917E792B-F6D6-91A5-30E8-8FBA7F7980FD}</x:author>
    <x:author>tc={136C6478-A806-0158-3E23-684247ABA1F8}</x:author>
    <x:author>tc={FCE4A6FB-70BE-23FB-4613-6391831F013F}</x:author>
    <x:author>tc={2B7CCBD0-8E90-B46D-A9F1-6852420CA35F}</x:author>
    <x:author>tc={3759824E-5DDA-AB4D-036D-A7B7B594AE1C}</x:author>
    <x:author>tc={D280543D-FE07-EEA4-E1E6-BEDDE61FE4D3}</x:author>
    <x:author>tc={C1EFC85A-B015-470C-FFBF-54723E219680}</x:author>
    <x:author>tc={04EDD616-A12F-AA7F-FB26-05F62FEB4EF4}</x:author>
    <x:author>tc={FF2D0B9D-4DD4-D385-4D5D-E3CD6F6B08EB}</x:author>
    <x:author>tc={F8952155-203B-9C88-0F83-DD9AC05688CD}</x:author>
    <x:author>tc={72689B76-0ADB-79D1-10E7-986E22897E7F}</x:author>
    <x:author>tc={416D2D94-CB62-A423-0237-90ED4B03501A}</x:author>
    <x:author>tc={F4E9A66C-44E9-A4F2-21A9-1247467ACB82}</x:author>
    <x:author>tc={AEB6CBC8-1803-3306-CDB5-7FC43222A92C}</x:author>
    <x:author>tc={EE2E43BC-1C94-8CDC-EDE5-E5466D8CE60D}</x:author>
    <x:author>tc={791F800B-A821-6D82-E6F3-D5EBCF1CAEE4}</x:author>
    <x:author>tc={15C85B0B-097E-C572-D3EC-824DDE430FA4}</x:author>
    <x:author>tc={D8F800B7-22EC-4FBD-141E-63D120AC47CC}</x:author>
    <x:author>tc={FA295D09-599D-929A-B2CD-71C532DB18A2}</x:author>
    <x:author>tc={E1F6244B-1609-3141-8C45-1697381AE6D2}</x:author>
    <x:author>tc={F7C0F527-E16D-A477-5B41-EAA5365D9A7D}</x:author>
    <x:author>tc={38C673D1-4C06-5F17-6017-D9BFC1188529}</x:author>
    <x:author>tc={3A244859-5179-83BF-1315-A303F2891B4D}</x:author>
    <x:author>tc={B60CC592-35D5-E977-8CF4-05A426C74C56}</x:author>
    <x:author>tc={24BD9FD0-90B6-7548-2721-0FEFC508E778}</x:author>
    <x:author>tc={CA9FD065-410E-A716-260A-58DCBDCC9853}</x:author>
    <x:author>tc={0CC8EA37-F058-947F-9559-142E86D5E3B3}</x:author>
    <x:author>tc={180085D6-81E5-5439-2E2E-2F8892B1DB0C}</x:author>
    <x:author>tc={B1C1D16B-F8A4-5D8A-5912-08AF6324E965}</x:author>
    <x:author>tc={4A4D2D1A-A986-0800-E966-00E817D391C3}</x:author>
    <x:author>tc={CC1CCF81-226F-C52D-FA88-63A1690D7300}</x:author>
    <x:author>tc={775ED914-77A3-B155-0E5B-DA7576E12457}</x:author>
    <x:author>tc={F128BCEC-6FF0-3FE6-5FD9-69A63F6B3139}</x:author>
    <x:author>tc={9D7320F4-05ED-8896-FA55-79AACD02F33E}</x:author>
    <x:author>tc={62091B73-C4F8-212A-B9F3-16522150026D}</x:author>
    <x:author>tc={C1D82210-28E9-7BDC-39F9-CF9CC4E5A2BF}</x:author>
    <x:author>tc={5F3B4995-EA48-A8A3-435C-6B1DB6DCCE37}</x:author>
    <x:author>tc={9D56900C-0095-AE41-DCF4-8FBA3A0ED8B8}</x:author>
    <x:author>tc={0FBD2635-CF16-CFD0-AA99-EA8492EE9A97}</x:author>
    <x:author>tc={5E72A7F5-DD1D-C6C5-DCFE-62E8FFDEBC53}</x:author>
    <x:author>tc={A5556BF2-9284-649E-8419-F9785BF6EF12}</x:author>
    <x:author>tc={2142E303-C0FA-4D9D-0DAE-F606852BDDC2}</x:author>
    <x:author>tc={F5F6877C-8393-487A-B39A-9FCB3B616E58}</x:author>
    <x:author>tc={79BB3A69-EFDA-4EE4-1514-1105D5063B54}</x:author>
    <x:author>tc={5A9F3205-45F7-D8D8-E5A6-A5297F55A15D}</x:author>
    <x:author>tc={15437DB2-F230-D311-7B30-EA130B721365}</x:author>
    <x:author>tc={F433A2EC-9CAE-64E3-5013-13D0FCBCC5F4}</x:author>
    <x:author>tc={D28A5684-56C4-2063-5A4A-E8479902F4FA}</x:author>
    <x:author>tc={547FB91A-C4E4-A075-D7A7-D5AB4115E16F}</x:author>
    <x:author>tc={B44E5994-0F71-D841-F1C5-61F508E94CC4}</x:author>
    <x:author>tc={A91B5523-9C18-AD84-1740-630150125633}</x:author>
    <x:author>tc={332C6120-CF9E-88C4-5807-365C3AEA3F4A}</x:author>
    <x:author>tc={F70EBB39-9DAE-D37C-80B5-EBE32D088E92}</x:author>
    <x:author>tc={0B511903-60AC-180F-CFBC-E8EC6281F80F}</x:author>
    <x:author>tc={094659A5-73C1-5816-87E2-81748BC8000E}</x:author>
    <x:author>tc={63B5AAEB-721F-2C87-0D05-D5525F5F9F6A}</x:author>
    <x:author>tc={13FD1791-40E3-E03D-2715-2ACB9B083116}</x:author>
    <x:author>tc={2741581C-BC41-41E4-AB7D-2560442E3060}</x:author>
    <x:author>tc={56EA8586-C54B-AFF8-7D47-146AD1C74CCC}</x:author>
    <x:author>tc={6BC4B1C1-1CD5-5522-497E-96B839C88489}</x:author>
    <x:author>tc={AADA627B-76FA-9CC9-8D43-56CF8BD01F26}</x:author>
    <x:author>tc={14E1F93B-C4CB-AB4E-A451-12D446369260}</x:author>
    <x:author>tc={9221A09E-1DB7-146C-55B3-8C2E26BCE10F}</x:author>
    <x:author>tc={8BA41C6F-F461-7220-6F19-13CA1317BBA4}</x:author>
    <x:author>tc={3B5E734F-1902-63CE-AD27-F49B7D383B92}</x:author>
    <x:author>tc={AB880B99-2E6C-24C3-F43B-763222009853}</x:author>
    <x:author>tc={AA48EAE4-3657-DCED-4C89-1ED5EFD1CFCB}</x:author>
    <x:author>tc={09B4B889-29BE-0976-5159-94B43113BEFA}</x:author>
    <x:author>tc={0837097C-B36F-57D1-37D0-094244AC2AF5}</x:author>
    <x:author>tc={4E517642-E8A8-ED9A-0FD7-1D335780D7DC}</x:author>
    <x:author>tc={28D282D5-2BC2-5F3F-95AE-735D83DB90DA}</x:author>
    <x:author>tc={AA4A58B5-C04D-70BA-6595-7B374F29AEC1}</x:author>
    <x:author>tc={A1144013-1E64-746D-F020-E3A9703AE28D}</x:author>
    <x:author>tc={0C7392F7-F0F8-E33E-CC6D-D40A2A2C926D}</x:author>
    <x:author>tc={B928A935-ACE3-EA82-30B8-9A3E49D008D5}</x:author>
    <x:author>tc={F6FD2BE8-A047-D6C3-C375-FE3921159924}</x:author>
    <x:author>tc={DBC126A6-A72C-3D79-F6CA-63B8E6A351CC}</x:author>
    <x:author>tc={F409B2D3-E2AB-1461-C712-703BFC9F14DF}</x:author>
    <x:author>tc={C5EA4475-C89F-1B44-F9E2-08CFFA6FE0E8}</x:author>
    <x:author>tc={FF58EA38-F23B-D4B8-7007-C1E8ED4864D7}</x:author>
    <x:author>tc={F3E40394-49A6-5D27-C0CF-BF17D2D55402}</x:author>
    <x:author>tc={7FFA8110-B9BE-2C82-4FD7-6656C9355258}</x:author>
    <x:author>tc={2FABB797-19D9-F5B4-F425-627156BE5B28}</x:author>
    <x:author>tc={02AC9682-BC36-C27B-238B-13A21A673848}</x:author>
    <x:author>tc={80C99371-BD21-666B-E392-17B0CF726A1D}</x:author>
    <x:author>tc={2DCE3F05-7C81-D40B-1AF4-B93C5F67F01B}</x:author>
    <x:author>tc={95B225A0-5D3C-0663-B5A4-8001A1B68F99}</x:author>
    <x:author>tc={97294DB0-8FC4-5B6C-D61D-E203E4323E2B}</x:author>
    <x:author>tc={9ED696DC-BD1E-7FC0-16A0-5AE478B0FB51}</x:author>
    <x:author>tc={B91AB3D3-68EE-E836-2431-45B577247845}</x:author>
    <x:author>tc={656F7C26-1828-80F5-B43F-F6FF84BD1EA5}</x:author>
    <x:author>tc={D863A028-0AF8-A944-796D-E6ED3A17968F}</x:author>
    <x:author>tc={6EDCC29A-B2BF-2236-284B-ED05399D9658}</x:author>
    <x:author>tc={4B3F7877-3CF1-76AF-BF77-9F15E72E7EBF}</x:author>
    <x:author>tc={D8938741-C57F-7815-6934-F20BBC8BA031}</x:author>
    <x:author>tc={B64529AD-3E3F-0E0D-3B51-2E76C850F0E7}</x:author>
    <x:author>tc={C5286006-E9AD-9A4C-BA09-0B1B1B0A0942}</x:author>
    <x:author>tc={C94ABEE3-4491-55A3-9B4F-3530EA69B715}</x:author>
    <x:author>tc={F84DA621-BC69-2782-F917-21CB3E19D9A1}</x:author>
    <x:author>tc={F8F3665C-60DE-8DD9-EB5E-F3EB2094C154}</x:author>
    <x:author>tc={36873474-7BD3-518C-DAC0-F5B99291F94E}</x:author>
    <x:author>tc={EDC943C1-9ECF-8266-F4BC-D89236196A16}</x:author>
    <x:author>tc={D4FB67AD-04E5-AE32-1904-949E6842F64F}</x:author>
    <x:author>tc={0E617783-DA9F-6479-A180-80BB68D69A14}</x:author>
    <x:author>tc={73F60219-9176-4DE8-BC92-212763DF0DA3}</x:author>
    <x:author>tc={59B6BE59-EC56-2E9C-BB01-1F3160377E71}</x:author>
    <x:author>tc={301351D2-1E99-D975-0EBE-CF216732845B}</x:author>
    <x:author>tc={A8CD47EB-9E0D-DF12-A8F5-C0EBE95E8803}</x:author>
    <x:author>tc={07661D67-68E3-9A67-7310-DC65C73BEBC9}</x:author>
    <x:author>tc={41E78626-5617-B767-8877-7B428577A91B}</x:author>
    <x:author>tc={F01F2040-9C2C-35EC-9E67-61752A84143B}</x:author>
    <x:author>tc={1379B7EC-A674-067B-F03D-D6188A9EA1EE}</x:author>
    <x:author>tc={AF48BC99-6524-296C-69FE-6A0AAF7773B7}</x:author>
    <x:author>tc={24E2DAB9-DC43-CCFF-79CC-A50315D47B7F}</x:author>
    <x:author>tc={CD5E49B4-D45B-7F1A-0868-E727F8559D6B}</x:author>
    <x:author>tc={1B3A103E-A727-9746-A93A-4D0BFF176CDA}</x:author>
    <x:author>tc={0BB47C7E-DDDF-A176-87AE-EBE92FA9F058}</x:author>
    <x:author>tc={B1F7CA61-DEE4-3864-9FF7-17A08A4E8C30}</x:author>
    <x:author>tc={94472A01-40EC-6EDB-CD4A-909F45AD8164}</x:author>
    <x:author>tc={67943F33-C5DC-1BC5-9B42-D0005B156072}</x:author>
    <x:author>tc={337CCA11-C502-4B71-847F-8D5B83A9ADCA}</x:author>
    <x:author>tc={A4B543DA-5524-F839-5BF3-6EFAA356947E}</x:author>
    <x:author>tc={62912EFD-A65D-5612-274C-B0C8CF282464}</x:author>
    <x:author>tc={0FFCDCEA-9D4E-9EE7-B209-D95FE68831ED}</x:author>
    <x:author>tc={C74CD198-EE39-4052-0EB6-31A6C14D9544}</x:author>
    <x:author>tc={70BC4EB3-8D83-B070-DE8E-EE6B8D9C76ED}</x:author>
    <x:author>tc={F664F1F0-083B-8F85-092E-2C416EB07E22}</x:author>
    <x:author>tc={151BBCC8-4124-988A-D2D4-B1C2532311DC}</x:author>
    <x:author>tc={F17E76F3-3305-5634-65EF-D6670839F240}</x:author>
    <x:author>tc={BA847175-4521-7244-27D3-DFB74C496D31}</x:author>
    <x:author>tc={32F99431-8612-7BDF-0E46-46082A18D6FB}</x:author>
    <x:author>tc={3F4EFA17-9AE6-CC46-D091-B410245C9999}</x:author>
    <x:author>tc={296BB059-511F-1450-0309-A1778C1148A4}</x:author>
    <x:author>tc={0AB9FCA9-13CC-AD0F-C0C0-2B3E5CBE322D}</x:author>
    <x:author>tc={3EB99015-41DA-E0B7-D3FE-383D17D7EAD4}</x:author>
    <x:author>tc={2B78B148-2B56-3BC4-E0CB-F0DDF5373FB2}</x:author>
    <x:author>tc={36B56B2F-AA32-F307-8678-81BFCC77F5E2}</x:author>
    <x:author>tc={1B51B96D-2256-9B59-FB8F-CCD57C66985B}</x:author>
    <x:author>tc={FA917583-CFD0-D335-03F2-2DE649D37C7B}</x:author>
    <x:author>tc={2B547A53-5722-D570-1064-3DCF95B548C4}</x:author>
    <x:author>tc={1E96D1A4-0C17-47A3-3399-126AFCFA052C}</x:author>
    <x:author>tc={9C7C805F-218A-3DD8-4447-570D83B73F6F}</x:author>
    <x:author>tc={8266BE15-4BB7-A98C-0461-099355020B79}</x:author>
    <x:author>tc={1B747EC6-5138-64D4-DD62-B563565FA57B}</x:author>
    <x:author>tc={47578CDF-3AB2-32B3-3FAE-A5EC85C1B6A8}</x:author>
    <x:author>tc={675106D5-0FDB-2F9E-3877-39B9627260E9}</x:author>
    <x:author>tc={E1B0F092-1DBA-6FB0-5963-DD60EA5A5AF3}</x:author>
    <x:author>tc={CAB88FF0-3362-8B33-47F4-83F6C1B77808}</x:author>
    <x:author>tc={B309BC84-9D98-DC9C-9BEF-1BC46EDFDC6C}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D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E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F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G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H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I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J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K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L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M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N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O5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P5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Q5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C6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D6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E6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F6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G6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H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I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J6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K6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L6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M6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N6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O6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P6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Q6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C7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D7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E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F7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G7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H7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I7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J7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K7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L7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M7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N7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O7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P7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Q7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C8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D8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E8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F8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G8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H8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I8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J8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K8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L8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M8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N8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O8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P8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Q8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C9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D9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E9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F9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G9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H9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I9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J9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K9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L9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M9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N9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O9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P9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Q9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C10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D10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E10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F10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G10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H10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I10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J10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K10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L10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M10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N10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O10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P10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Q10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C11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D11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E11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F11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G11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H11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I11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J11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K11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L11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M11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N11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O11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P11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Q11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C12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D12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E12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F12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G12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H12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I12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J12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K12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L12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M12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N12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O12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P12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Q12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C13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D13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E13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F13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G13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H13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I13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J13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K13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L13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M13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N13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O13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P13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Q13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new 283 AC scenario setting; not a canon amount. See Sources and the master report; U1–U3 informed framing, not an audited roll-forward.</x:t>
        </x:r>
      </x:text>
    </x:comment>
    <x:comment ref="S5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https://racefortheironthrone.tumblr.com/post/149005655796/are-the-manderlys-richer-than-the-starks-what-are Tully potential is not added to receipts; F1/F2 are fan estimates, not canon.</x:t>
        </x:r>
      </x:text>
    </x:comment>
    <x:comment ref="U5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https://racefortheironthrone.tumblr.com/post/149005655796/are-the-manderlys-richer-than-the-starks-what-are Tully potential is not added to receipts; F1/F2 are fan estimates, not canon.</x:t>
        </x:r>
      </x:text>
    </x:comment>
    <x:comment ref="T5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explicit new simulation assumption for version 2. Not supplied by the linked fan estimates. See Revision and Sources.</x:t>
        </x:r>
      </x:text>
    </x:comment>
    <x:comment ref="S6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U6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T6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explicit new simulation assumption for version 2. Not supplied by the linked fan estimates. See Revision and Sources.</x:t>
        </x:r>
      </x:text>
    </x:comment>
    <x:comment ref="S7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U7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T7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explicit new simulation assumption for version 2. Not supplied by the linked fan estimates. See Revision and Sources.</x:t>
        </x:r>
      </x:text>
    </x:comment>
    <x:comment ref="S8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U8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T8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explicit new simulation assumption for version 2. Not supplied by the linked fan estimates. See Revision and Sources.</x:t>
        </x:r>
      </x:text>
    </x:comment>
    <x:comment ref="S9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U9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T9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explicit new simulation assumption for version 2. Not supplied by the linked fan estimates. See Revision and Sources.</x:t>
        </x:r>
      </x:text>
    </x:comment>
    <x:comment ref="S10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U10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T10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explicit new simulation assumption for version 2. Not supplied by the linked fan estimates. See Revision and Sources.</x:t>
        </x:r>
      </x:text>
    </x:comment>
    <x:comment ref="S11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U11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T11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explicit new simulation assumption for version 2. Not supplied by the linked fan estimates. See Revision and Sources.</x:t>
        </x:r>
      </x:text>
    </x:comment>
    <x:comment ref="S12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U12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https://racefortheironthrone.wordpress.com/2016/08/17/x-posted-from-tumblr-estimates-of-great-house-incomes/ Tully potential is not added to receipts; F1/F2 are fan estimates, not canon.</x:t>
        </x:r>
      </x:text>
    </x:comment>
    <x:comment ref="T12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explicit new simulation assumption for version 2. Not supplied by the linked fan estimates. See Revision and Sources.</x:t>
        </x:r>
      </x:text>
    </x:comment>
    <x:comment ref="S13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M3: independent Crown scenario choice. Tully potential is not added to receipts; F1/F2 are fan estimates, not canon.</x:t>
        </x:r>
      </x:text>
    </x:comment>
    <x:comment ref="U13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Version 2. User-approved annual income choice. M3: independent Crown scenario choice. Tully potential is not added to receipts; F1/F2 are fan estimates, not canon.</x:t>
        </x:r>
      </x:text>
    </x:comment>
    <x:comment ref="T13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explicit new simulation assumption for version 2. Not supplied by the linked fan estimates. See Revision and Sources.</x:t>
        </x:r>
      </x:text>
    </x:comment>
  </x:commentList>
</x:comments>
</file>

<file path=xl/comments2.xml><?xml version="1.0" encoding="utf-8"?>
<x:comments xmlns:x="http://schemas.openxmlformats.org/spreadsheetml/2006/main">
  <x:authors>
    <x:author>tc={428E61E5-2AFA-632C-E957-2E3C6EA16848}</x:author>
    <x:author>tc={10F4E5C3-0A87-594F-A166-33E0F9A2EA8D}</x:author>
    <x:author>tc={C0467956-F5C2-4675-DF41-B4BE50FEF4E0}</x:author>
    <x:author>tc={2AE157CA-C092-17CF-994E-03E0E0823B89}</x:author>
    <x:author>tc={29DDED70-B072-84DB-938E-6B2D1FDFB840}</x:author>
    <x:author>tc={2B324778-3332-6F4A-8451-F15C9D7C0CF0}</x:author>
    <x:author>tc={C95C8CC8-5E01-341B-2EBA-3AB6C20F349F}</x:author>
    <x:author>tc={04F98EEE-64E4-A87D-7C46-C1BE57D36660}</x:author>
    <x:author>tc={5DAB4104-C3DC-D67D-1158-93B5AEE5B01C}</x:author>
    <x:author>tc={553B710E-9466-5941-9F59-95BD1BD84654}</x:author>
    <x:author>tc={3B0D58AE-7726-7C04-6EFA-859543BA07D4}</x:author>
    <x:author>tc={AB0BFED7-8260-B83A-9179-63260198AB22}</x:author>
    <x:author>tc={AE66475B-6AE8-6702-4517-5A1CB0583082}</x:author>
    <x:author>tc={43E7030E-D7C8-07E0-20CF-5EAF231FDA6D}</x:author>
    <x:author>tc={958B7949-34D4-EF5F-2E52-FAAF95D19C2D}</x:author>
    <x:author>tc={B3C1E2BE-D3DC-5C8C-BE5F-143AA4D3B2E0}</x:author>
    <x:author>tc={F37A889E-DEFF-A581-B1AF-6FE03733ED1F}</x:author>
    <x:author>tc={D36CBA0E-6F80-1C40-F317-488454160913}</x:author>
    <x:author>tc={71BB75E7-10CA-C295-86AA-FEE5F9BF9299}</x:author>
    <x:author>tc={55B6721D-A88B-9A9C-5368-285972CBB739}</x:author>
    <x:author>tc={8F9DB51B-0477-6892-1F35-0DFC0D5E0F16}</x:author>
    <x:author>tc={6261162A-3F7E-DAD1-29C3-6153A39B9233}</x:author>
    <x:author>tc={2AAB59C4-09FC-D475-EE36-4882119BFC06}</x:author>
    <x:author>tc={EABEFF32-9CAD-6C86-5879-83ED84011091}</x:author>
    <x:author>tc={FEB2709A-6DB3-D4C3-B144-C16A18DC6701}</x:author>
    <x:author>tc={B38FA9CD-70FD-E21D-14F1-E959CF1BD507}</x:author>
    <x:author>tc={94871DF7-5847-A108-3A36-2599A68A6AB3}</x:author>
    <x:author>tc={79537A40-AE51-2A7F-3F54-16D95A217684}</x:author>
    <x:author>tc={9094F450-3C78-63D4-A72F-FA24C0FC0009}</x:author>
    <x:author>tc={B5754830-2867-6FA4-C294-FB07B01E570F}</x:author>
    <x:author>tc={CF5D7BD5-ACA0-9249-E32B-16F760004F63}</x:author>
    <x:author>tc={51047EF0-91EE-6274-7080-6276E4F2FD38}</x:author>
    <x:author>tc={7CEC0F53-3AF8-FE55-9720-B36297690174}</x:author>
    <x:author>tc={DB4C6827-2F56-8BE4-F87A-1C0FAD925B0C}</x:author>
    <x:author>tc={665FBC26-9AB5-2C8F-5178-0F8EA82B22D4}</x:author>
    <x:author>tc={80FA53A4-8056-D7BB-89D6-6ED169D58CD8}</x:author>
    <x:author>tc={EB7C60E5-48A9-42AF-2D35-34B56BC7E03E}</x:author>
    <x:author>tc={A476D1A2-A173-6213-7630-27EA9652489C}</x:author>
    <x:author>tc={8BB1B480-0814-66BE-6E98-51E26A906C42}</x:author>
    <x:author>tc={B750D18D-648A-74DB-8887-D63100402E5E}</x:author>
    <x:author>tc={4AA98EB6-AE99-0C46-EA29-639C9CFDC126}</x:author>
    <x:author>tc={8D5F561C-9489-C136-7F65-35724724C59C}</x:author>
    <x:author>tc={BB8E64E4-062E-A7D7-EC95-6DBAEF8156A5}</x:author>
    <x:author>tc={39ACFC6A-3D4F-EDAC-FA3C-3E366DCCB6C0}</x:author>
    <x:author>tc={267B42A1-A3F9-A910-F7FC-D678E18262A0}</x:author>
    <x:author>tc={EC9A5300-3CAA-66FC-586C-1352628532C2}</x:author>
    <x:author>tc={2997319D-2589-17B6-8349-C34A33D576D2}</x:author>
    <x:author>tc={162950F5-0AA0-5CB8-087E-A557EA0AC1B9}</x:author>
    <x:author>tc={3FD2F90F-FAB5-9858-8A64-2B223ECD30AD}</x:author>
    <x:author>tc={65F51584-6DA1-1D78-CBE9-A390C8EE9B1E}</x:author>
    <x:author>tc={9AB0F5EE-66FD-FA39-7D98-0F8C40B3BF35}</x:author>
    <x:author>tc={BAD3D416-2A3F-64CC-043F-A854B5F79DE6}</x:author>
    <x:author>tc={C6DEF3D3-B734-520A-2AAC-2753F3B3DF2E}</x:author>
    <x:author>tc={A391AE63-F862-BDCF-04E4-CCCFE625C44B}</x:author>
    <x:author>tc={FFA2336A-F6F5-8199-5811-E3A22129D54C}</x:author>
    <x:author>tc={EC2B73E9-8ED8-C867-E79D-DB105FA94D63}</x:author>
    <x:author>tc={4FA723C6-2BBF-1366-7C35-C657869A4360}</x:author>
    <x:author>tc={5723B7ED-4068-40D6-4990-658445D020B9}</x:author>
    <x:author>tc={EFAA0C39-F9E1-2277-2EB0-4E28FA9F87E8}</x:author>
    <x:author>tc={2158133D-AEAA-763E-9F7E-ED378A168451}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D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E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F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G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B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C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D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E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F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G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B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C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D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E7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F7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G7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B8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C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D8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E8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F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G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B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C9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D9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E9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F9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G9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B10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C10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D10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E10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F10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G1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B1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C11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D11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E11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F11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G11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B12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C12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D12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E12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F12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G1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B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C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D1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E13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F13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G13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postwar net-cash budget. Resources are lore-informed (L2–L10), but no source establishes this number.</x:t>
        </x:r>
      </x:text>
    </x:comment>
    <x:comment ref="B2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category-wide receipt multiplier, base 1.0. Change affected regional inputs instead for local shocks.</x:t>
        </x:r>
      </x:text>
    </x:comment>
    <x:comment ref="C2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category-wide receipt multiplier, base 1.0. Change affected regional inputs instead for local shocks.</x:t>
        </x:r>
      </x:text>
    </x:comment>
    <x:comment ref="D2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category-wide receipt multiplier, base 1.0. Change affected regional inputs instead for local shocks.</x:t>
        </x:r>
      </x:text>
    </x:comment>
    <x:comment ref="E2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category-wide receipt multiplier, base 1.0. Change affected regional inputs instead for local shocks.</x:t>
        </x:r>
      </x:text>
    </x:comment>
    <x:comment ref="F2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category-wide receipt multiplier, base 1.0. Change affected regional inputs instead for local shocks.</x:t>
        </x:r>
      </x:text>
    </x:comment>
    <x:comment ref="G2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category-wide receipt multiplier, base 1.0. Change affected regional inputs instead for local shocks.</x:t>
        </x:r>
      </x:text>
    </x:comment>
  </x:commentList>
</x:comments>
</file>

<file path=xl/comments3.xml><?xml version="1.0" encoding="utf-8"?>
<x:comments xmlns:x="http://schemas.openxmlformats.org/spreadsheetml/2006/main">
  <x:authors>
    <x:author>tc={F0BB6270-1E5F-99C2-3A88-C9FE56F93B23}</x:author>
    <x:author>tc={ABE171A4-9BE6-7310-E0B2-2D7393AED4A9}</x:author>
    <x:author>tc={AE73E5C3-9C33-69EA-50DD-562F300F5D2A}</x:author>
    <x:author>tc={7D4F1BC7-A2BF-33F5-4B5B-F39168384187}</x:author>
    <x:author>tc={B53B7BB9-E63D-8E03-6A76-589855E246CF}</x:author>
    <x:author>tc={2FFF2766-3B44-5F2F-E177-B83DBFD97A04}</x:author>
    <x:author>tc={B9E88A32-AA3F-039E-BED7-5BEA1CD395B0}</x:author>
    <x:author>tc={7CEBA717-A5C9-947C-5A3F-D190C6966BC4}</x:author>
    <x:author>tc={2DD334DB-CDCE-54F6-1250-797BD2DA2B7A}</x:author>
    <x:author>tc={B7C595E7-FFF6-A03F-BC6E-24A3DA58768E}</x:author>
    <x:author>tc={E82E84AB-5AC7-96B8-E27A-6D0194C6678A}</x:author>
    <x:author>tc={DA971EF9-D124-E3FF-D9B2-C5B85F270C5B}</x:author>
    <x:author>tc={5B615018-8591-A857-ED42-0D9211916A96}</x:author>
    <x:author>tc={6DEB9022-2A00-6D1B-C53B-2EFBB460DDBE}</x:author>
    <x:author>tc={589EB99B-737E-718D-B3A6-52BD5B2CB4F1}</x:author>
    <x:author>tc={CF9AB066-1D1D-9CBD-9C1B-2FBFE2400C4E}</x:author>
    <x:author>tc={ECF9877F-D48A-E5B7-F34F-318E481D1BBC}</x:author>
    <x:author>tc={C842C79C-2DAE-F2D9-44CD-6CCF3C3E74BB}</x:author>
    <x:author>tc={25BB42D6-CB4F-7A73-6238-F39DD8CD75B5}</x:author>
    <x:author>tc={5C86A5B3-5534-08C8-DE38-A9B8ADC6B9C5}</x:author>
    <x:author>tc={52D5629A-5BB1-08C6-4BC8-EFBBF0F74CDD}</x:author>
    <x:author>tc={15CEEE2D-FD6B-737F-15EF-CBED25BD6CBE}</x:author>
    <x:author>tc={D5534913-2F86-8286-5214-7CF53A15A22F}</x:author>
    <x:author>tc={797F44C4-67BB-8CCB-A5BC-E47DD79EE66A}</x:author>
    <x:author>tc={F5908461-3C8F-4842-7F11-179F2E32F7FA}</x:author>
    <x:author>tc={36F06243-E672-DB88-10E0-F476AB65EB4C}</x:author>
    <x:author>tc={DAE742F6-E86D-732D-CDB4-752A693DDC25}</x:author>
    <x:author>tc={56E99608-BF2C-77D4-4662-E9270683B7BC}</x:author>
    <x:author>tc={1CEB4D27-02A4-FE56-C5CB-B7408028D9D0}</x:author>
    <x:author>tc={F7CFD053-C3FB-9038-5CED-EAA3DAD6C6D7}</x:author>
    <x:author>tc={DA6BE86B-3C01-DD30-F8F7-1BEF9665FFD0}</x:author>
    <x:author>tc={5CE7E046-B8E9-4C2B-98A3-AAB764124EFA}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D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F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B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C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D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F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B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C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D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F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B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C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D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F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B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C9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D9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F9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B10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C10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D10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F10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B1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C1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D1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F1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B12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C12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D12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  <x:comment ref="F12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negotiated Crown obligation / compliance setting. H1 supports historical forms, not the exact amount.</x:t>
        </x:r>
      </x:text>
    </x:comment>
  </x:commentList>
</x:comments>
</file>

<file path=xl/comments4.xml><?xml version="1.0" encoding="utf-8"?>
<x:comments xmlns:x="http://schemas.openxmlformats.org/spreadsheetml/2006/main">
  <x:authors>
    <x:author>tc={E462ED8B-113C-D922-FB02-22114039497D}</x:author>
    <x:author>tc={2008A866-C79F-EB59-77A8-C48DDFEE3C83}</x:author>
    <x:author>tc={AE200CB7-9C97-4848-EDEC-168BFB6758EB}</x:author>
    <x:author>tc={BF5F9AAB-24A1-EF11-9506-85E412218ED7}</x:author>
    <x:author>tc={0FD363DE-394E-69B3-61FB-FA541E9A09BA}</x:author>
    <x:author>tc={36946694-C5A3-6E41-F665-6FA2B57A81C9}</x:author>
    <x:author>tc={235A701F-20B2-0199-3F0A-A931B209B288}</x:author>
    <x:author>tc={42715B6B-07A5-5277-E140-70AA16F5D761}</x:author>
    <x:author>tc={1862CE08-60C3-EBE5-7288-60506DF0D300}</x:author>
    <x:author>tc={90323207-B97B-8727-2D2C-F46A93EAA241}</x:author>
    <x:author>tc={C6123FC4-C697-4DFF-5401-9FAE23E6AEA8}</x:author>
    <x:author>tc={B08F3E43-4A86-FA37-FB60-B85ABE52C14E}</x:author>
    <x:author>tc={17C934BE-7D1B-202E-8529-B6B86A8D6965}</x:author>
    <x:author>tc={9FC1DD38-0C5A-36BF-FEAD-17E36576A188}</x:author>
    <x:author>tc={0E4893CB-74A4-5D51-64BD-3A38BFA5B3BB}</x:author>
    <x:author>tc={4F4F367C-72FE-C7D6-95E0-540D76F61426}</x:author>
    <x:author>tc={3423AA18-1A81-A3DF-E225-32832BCC53D2}</x:author>
    <x:author>tc={1198D20D-5B0B-3AF5-DEF4-F8D5A4F9AF1F}</x:author>
    <x:author>tc={CE27EA9A-BFB7-BD09-3709-7B68FAF89D20}</x:author>
    <x:author>tc={E9202541-9D3A-3B90-EA23-1AAEF9674227}</x:author>
    <x:author>tc={EACE8557-2E19-CD0C-404F-68A2CC90A656}</x:author>
    <x:author>tc={E0403B2E-9346-1107-BFFF-EC1420C79936}</x:author>
    <x:author>tc={EC0EA4A5-A4D1-EB81-36AD-432529277CB0}</x:author>
    <x:author>tc={DB5B4834-32B5-20EB-AF25-F89B78813EC6}</x:author>
    <x:author>tc={97536B90-6550-B13A-CD48-8CC0992D10AF}</x:author>
    <x:author>tc={B7132259-6994-9326-A66C-33D872087566}</x:author>
    <x:author>tc={555A9C84-5CC2-AA4C-99E0-0BD06C00DFB1}</x:author>
    <x:author>tc={4B622F5A-8645-C33A-74AC-D2F6E0C3F6C7}</x:author>
    <x:author>tc={4FD19215-9FCA-A671-B963-E499E110C8EC}</x:author>
    <x:author>tc={D6B5944F-DC0A-A3DC-90F2-2CF6582101E0}</x:author>
    <x:author>tc={18E11D9A-BC60-E05D-75C1-041D5C7833B1}</x:author>
    <x:author>tc={C08C3FB0-90E9-78E0-0858-AFE3C813A040}</x:author>
    <x:author>tc={DD93FAF7-1942-3476-B453-C73AED22E632}</x:author>
    <x:author>tc={E5FDCB74-7D90-7CB9-B3A3-325B2B5BECD2}</x:author>
    <x:author>tc={BA616AD5-AB47-7C2F-0A45-79BFED2C8B9D}</x:author>
    <x:author>tc={88326C5B-3447-90DA-4F90-31BB1EDF7C9E}</x:author>
    <x:author>tc={31D18C05-CA01-555D-58BB-3B33B847E2C8}</x:author>
    <x:author>tc={839CB537-979D-7153-71AE-4FAA3B4F5FDA}</x:author>
    <x:author>tc={38941B0A-462E-FB33-7BBB-BEEB5794D504}</x:author>
    <x:author>tc={5B74D95D-4F28-1596-CBB9-0EBDC0BC90C1}</x:author>
    <x:author>tc={90027038-C349-76FF-3009-DA2FBDE8B93B}</x:author>
    <x:author>tc={5AAB83D2-5612-09CB-E8F4-BCD61AE5FB92}</x:author>
    <x:author>tc={DC6C5F58-2E70-2A2D-9347-3BA184112735}</x:author>
    <x:author>tc={0CD2C522-C64C-0D4F-CA36-A7E2472C81F1}</x:author>
    <x:author>tc={3007572B-34DA-13CA-8654-7A34521022D3}</x:author>
    <x:author>tc={5DC2A57F-E07E-C920-EEE2-7ADBBB9EC490}</x:author>
    <x:author>tc={8B12E0F5-A41A-277A-5E1C-A8F4DA399BD9}</x:author>
    <x:author>tc={44740C7A-6873-BF7F-D05B-3CC6B58A58D1}</x:author>
    <x:author>tc={D2B9F17A-224B-2203-D27A-00E53428ABAD}</x:author>
    <x:author>tc={A5028579-8688-5D79-667D-6BD57A199E65}</x:author>
    <x:author>tc={BC1FEECE-0C88-17D1-4629-22A8A0C9A4FC}</x:author>
    <x:author>tc={94B77B64-0A4A-707B-1421-ED87A4361271}</x:author>
    <x:author>tc={8B1DD0D1-F6E5-1026-9CFE-5EE73DFAE45A}</x:author>
    <x:author>tc={DD97CD7D-D15C-D7FA-06BB-0F1EEED36A89}</x:author>
    <x:author>tc={BF1B0CFF-7178-FC0F-CBCE-DBE20F1E7721}</x:author>
    <x:author>tc={1F74D222-4AE4-7FC4-D934-C7500EBF274B}</x:author>
    <x:author>tc={8B8A15D1-1CA8-4B57-DE6F-A4E265377E31}</x:author>
    <x:author>tc={7E7D7C37-2980-2C0D-9AD7-3126A4738998}</x:author>
    <x:author>tc={6397250E-6167-85C7-2072-CE6736435572}</x:author>
    <x:author>tc={1C9A4E4A-29B2-533E-96EF-E1ADF555D239}</x:author>
    <x:author>tc={024B5A01-A437-2905-0DA5-6C5507B631EA}</x:author>
    <x:author>tc={2F4AEE17-8CCA-67C7-ED8D-A2EC3312928E}</x:author>
    <x:author>tc={A82734A9-3ABA-7A44-DC38-E17B139ECA96}</x:author>
    <x:author>tc={CD1D8337-B644-5585-9719-084B96512E1E}</x:author>
    <x:author>tc={A2EBEA9F-6A89-070D-59A8-9C5B7B45E0D8}</x:author>
    <x:author>tc={E22380E8-DE84-F1EB-2FBD-CE84ACF892E4}</x:author>
    <x:author>tc={75667B6C-544B-0A63-E69F-F4427D600987}</x:author>
    <x:author>tc={50A0C416-F998-31EF-2B5B-258EC743B2EB}</x:author>
    <x:author>tc={5B77FBF9-2BEA-9A59-EFAF-7C49B10423EA}</x:author>
    <x:author>tc={951FCCE7-F66A-2DF9-C768-7C1760879434}</x:author>
    <x:author>tc={F9B6F117-000E-4ED3-F49E-BAA7B12E19FC}</x:author>
    <x:author>tc={02C89608-FE95-33F3-7EDF-499331733C1F}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D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E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F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G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H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M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B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C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D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E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F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G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H6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M6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B7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C7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D7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E7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F7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G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H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M7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B8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C8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D8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E8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F8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G8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H8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M8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B9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C9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D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E9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F9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G9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H9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M9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B10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C10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D10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E10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F10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G10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H10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M10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B11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C11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D11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E11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F11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G11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H11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M11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B12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C12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D12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E12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F12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G12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H12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M12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B13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C13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D13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E13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F13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G13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H13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  <x:comment ref="M13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new central treasury expenditure allocation. Owned-business production costs already deducted from Income.</x:t>
        </x:r>
      </x:text>
    </x:comment>
  </x:commentList>
</x:comments>
</file>

<file path=xl/comments5.xml><?xml version="1.0" encoding="utf-8"?>
<x:comments xmlns:x="http://schemas.openxmlformats.org/spreadsheetml/2006/main">
  <x:authors>
    <x:author>tc={E6EB9B83-B1CA-C44F-B636-7B3461F73122}</x:author>
    <x:author>tc={32735103-2EE4-70D8-D753-2002E9BF4AA5}</x:author>
    <x:author>tc={73277636-4952-7363-2D7C-9B85AE084A7F}</x:author>
    <x:author>tc={8DFB62AF-E332-F0C6-40AD-86FF192AE2E3}</x:author>
    <x:author>tc={94DBFBBA-6706-3348-6EC8-D5060EDFFC44}</x:author>
    <x:author>tc={FF6694D8-57B7-EFD8-A3C3-09AC58FA09B9}</x:author>
    <x:author>tc={7F500082-1972-9148-5E5C-7B7D7977B186}</x:author>
    <x:author>tc={3E39C36D-1452-488A-589B-30F049853DF9}</x:author>
    <x:author>tc={C38AE69D-374B-7014-9150-E60183C88D67}</x:author>
    <x:author>tc={251B3658-6E2F-F353-0E3A-22563F4BCEA3}</x:author>
    <x:author>tc={63A9E952-075C-7E16-5B51-D41F537DC720}</x:author>
    <x:author>tc={0D2A305F-92A4-AE81-8669-2D7D90A411B8}</x:author>
    <x:author>tc={0C5D65B7-215E-A54B-2BD8-2E096C9674C0}</x:author>
    <x:author>tc={C575F6A5-3DF5-51CD-25B8-2A881FE22DF4}</x:author>
    <x:author>tc={91B7C8F4-9F84-B87E-C1AD-55C79F624490}</x:author>
    <x:author>tc={74379CFD-D3FE-2419-91DC-209153B3070A}</x:author>
    <x:author>tc={FDCD5E10-6259-0570-BC9B-6805712CA1B5}</x:author>
    <x:author>tc={BFBF346B-047D-169D-B222-0CC0C19F7C95}</x:author>
  </x:authors>
  <x:commentList>
    <x:comment ref="F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H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F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H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F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H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F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H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F9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H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F10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H10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F1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H1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F12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H1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F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  <x:comment ref="H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M1: financing scenario input; not ordinary income. New borrowing draws at the first turn.</x:t>
        </x:r>
      </x:text>
    </x:comment>
  </x:commentList>
</x:comments>
</file>

<file path=xl/comments6.xml><?xml version="1.0" encoding="utf-8"?>
<x:comments xmlns:x="http://schemas.openxmlformats.org/spreadsheetml/2006/main">
  <x:authors>
    <x:author>tc={6A790DB6-44FB-EE1B-6EE6-20F067AE74A6}</x:author>
    <x:author>tc={C25B73F4-A3A9-7A38-E30D-D6226B81A928}</x:author>
    <x:author>tc={7DCFBE40-A7BF-4732-487A-6C2CA5E422A4}</x:author>
    <x:author>tc={C709AC80-D36B-6F48-6DBD-1D0CD63EB105}</x:author>
    <x:author>tc={C0133126-32EA-7D90-215D-19F6D85AC955}</x:author>
    <x:author>tc={2BD4BA36-7BA7-AB68-0D50-D71A51B54149}</x:author>
    <x:author>tc={0F740F54-CFC6-0CD7-CB95-D8C68D71B2C6}</x:author>
    <x:author>tc={6DCAB469-E70A-1B7F-06A1-0ACA13A3D638}</x:author>
    <x:author>tc={115CE6D1-B5E5-05E0-7201-33C194B80A78}</x:author>
    <x:author>tc={5EB05434-6136-9DB0-75D6-B39BFC6A6AD2}</x:author>
    <x:author>tc={3D9F9833-0111-BBB4-22BE-1BDF5FA4D825}</x:author>
    <x:author>tc={03F2A35A-F54D-A905-26C8-551410FEFD18}</x:author>
    <x:author>tc={CC6D5165-A46F-06F7-7E78-0B1246AB801D}</x:author>
    <x:author>tc={090EE4FD-8446-B70B-8042-BAF9DDFFD61E}</x:author>
    <x:author>tc={7F523424-3DA1-E2E1-8769-E77362034EE8}</x:author>
    <x:author>tc={25DA7B1A-E8D0-C57F-4140-23DB2BF44D44}</x:author>
    <x:author>tc={691A2E0F-221A-1CFE-79F9-5273E4B3CEF5}</x:author>
    <x:author>tc={DC79E105-30B2-8DEE-5441-27C1A286B253}</x:author>
    <x:author>tc={9DDE84F6-EC72-2C6B-4B56-48F30D4CADEB}</x:author>
    <x:author>tc={5E183BA6-80C0-59E5-9B7E-8117978B6976}</x:author>
    <x:author>tc={F1B4506C-8A13-312F-4EE4-3076DCB0EA4F}</x:author>
    <x:author>tc={A0881BDD-F70B-2923-784C-853FD6ACC0AF}</x:author>
    <x:author>tc={13F5FAE1-0703-1F63-5D59-A017C1ADE658}</x:author>
    <x:author>tc={30996EA2-34AC-3DF7-9B6D-FA98BBCB77CA}</x:author>
    <x:author>tc={1F40D5A8-9A0C-9C46-44F3-82FA96CA1C2B}</x:author>
    <x:author>tc={D3BD6D1E-0321-49E6-D2D4-5C8116821929}</x:author>
    <x:author>tc={70797182-02DE-CF42-0CB1-2FC5520C5855}</x:author>
    <x:author>tc={D65D9BA5-D27C-89C0-E465-1C27386527D8}</x:author>
    <x:author>tc={1FD59D03-2BEE-AEF6-23D3-1967EC7931AD}</x:author>
    <x:author>tc={F358FEF8-79E3-9941-B8A9-089AC667F230}</x:author>
    <x:author>tc={54022475-ABC8-40FF-235D-7CD6093B8CAF}</x:author>
    <x:author>tc={41AF51D9-453B-D606-3C5F-5235EA31E244}</x:author>
    <x:author>tc={B8933497-0E6F-A933-784D-DB2136893405}</x:author>
    <x:author>tc={092C3C18-15C5-E892-650C-75E4CC4CD226}</x:author>
    <x:author>tc={503AD64E-A58E-D53F-402C-BBDF4E73E97C}</x:author>
    <x:author>tc={0431796F-7E67-C767-3D7D-A51230CFA97A}</x:author>
    <x:author>tc={B46AD272-BDFB-9E3C-146F-75F6DA3E53E9}</x:author>
    <x:author>tc={9A7DE5C1-2FA4-D01E-9BD3-1532FC4AC743}</x:author>
    <x:author>tc={761EB734-DF4B-56C4-B0ED-7D943E692608}</x:author>
    <x:author>tc={7F6A78B6-51C1-70D4-5872-FDECE648ACE0}</x:author>
    <x:author>tc={DDE7C0AB-F7A2-7611-C8B2-64302AE88712}</x:author>
    <x:author>tc={437C72BF-1093-1316-24C4-6286969BF1A4}</x:author>
    <x:author>tc={ABE5557B-F635-A5E1-9FB3-060F789D143B}</x:author>
    <x:author>tc={976332A6-EF62-7018-120A-57F68AA1FF87}</x:author>
    <x:author>tc={4AF014B7-A78E-1F9E-5EF4-FC4FC68F6CFB}</x:author>
    <x:author>tc={5CEC431E-7DB0-6B0F-6ACC-A3D4787F5D82}</x:author>
    <x:author>tc={67625908-3E64-9107-687C-280ABCBEBA93}</x:author>
    <x:author>tc={022A8071-BB13-C07A-4A02-44A49A35631E}</x:author>
    <x:author>tc={6F476EC1-01B0-76E9-B848-218C8C6407E6}</x:author>
    <x:author>tc={351A0D5E-AEBE-CD4E-86EC-231CA9C451D8}</x:author>
    <x:author>tc={961A00A5-DF1F-0E8C-C579-F24C978E0A13}</x:author>
    <x:author>tc={53A9DF75-F3F8-68CF-6CED-B3F88C38F231}</x:author>
    <x:author>tc={E7A55377-601B-920A-204A-5F2D9B3A065D}</x:author>
    <x:author>tc={D6A6DF56-3E21-654E-372D-7268AF579CCC}</x:author>
    <x:author>tc={5B427039-82B9-3409-5490-8696D782FD62}</x:author>
    <x:author>tc={F1A16D63-675F-119B-8E45-ED3059A90075}</x:author>
    <x:author>tc={7C21F347-1D41-D018-0710-D81E4E20BE8E}</x:author>
    <x:author>tc={02DAF574-A2A7-68AD-2125-D3860B17D86D}</x:author>
    <x:author>tc={F6D0A124-5125-4AE8-9D3F-9CDFF25B7D08}</x:author>
    <x:author>tc={B650B9A3-6A6C-41BE-F0FB-C70F764C989C}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9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9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9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10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10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10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10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1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1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1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1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12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12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12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12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14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14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14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1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15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15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15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15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16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16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16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16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17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17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17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17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18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18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18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18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C19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D19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E19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  <x:comment ref="F19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M1/M2: fictional programme envelope, phase and maintenance assumption. No immediate guaranteed returns.</x:t>
        </x:r>
      </x:text>
    </x:comment>
  </x:commentList>
</x:comments>
</file>

<file path=xl/comments7.xml><?xml version="1.0" encoding="utf-8"?>
<x:comments xmlns:x="http://schemas.openxmlformats.org/spreadsheetml/2006/main">
  <x:authors>
    <x:author>tc={9E53DAB2-7403-94DE-3BFD-4A2F8FD2C92B}</x:author>
    <x:author>tc={2B577E44-340F-3CEF-2309-040F0E29742C}</x:author>
    <x:author>tc={8989E1D3-6AF4-EE57-5814-6B0D0CF876EA}</x:author>
    <x:author>tc={C18CE36C-95D7-2197-68A6-5860B3C9C856}</x:author>
    <x:author>tc={6998BB63-E5B8-0B9D-3FEB-CE840C94A092}</x:author>
    <x:author>tc={4E255423-E5E8-CE8B-766F-55D348FF7D7E}</x:author>
    <x:author>tc={9CD5D12C-22B5-2C09-0C28-89C546AD0140}</x:author>
    <x:author>tc={0AD746A7-C3BE-986D-3182-2D97E9B38C5B}</x:author>
    <x:author>tc={C7113E31-BE96-53AF-CCFD-7C85F2793AA7}</x:author>
    <x:author>tc={215223E9-F79C-EECE-FB16-54A4DC4A4CC0}</x:author>
    <x:author>tc={DD419548-CB7B-A20E-02BB-A8043E349DD4}</x:author>
    <x:author>tc={62746B20-A472-AC24-F751-2C41B53BEF0E}</x:author>
    <x:author>tc={F6011AE6-7753-A39D-DA6A-3FEFEFD6B372}</x:author>
    <x:author>tc={8026C364-5741-30BC-07DD-25345A0EF7D9}</x:author>
    <x:author>tc={A72C23E2-9D2A-4527-0BDB-565BE5F21233}</x:author>
    <x:author>tc={1975A649-9493-0D33-3DE5-6F7C6AF4B376}</x:author>
    <x:author>tc={8CDEE583-FF07-66E3-CCBE-5917C61292CB}</x:author>
    <x:author>tc={E42170F4-CC8D-9659-7DBB-6EA1EC807A43}</x:author>
    <x:author>tc={9C7B94CD-D438-C34A-2DEB-CA1B0E4A0152}</x:author>
    <x:author>tc={0B055457-E325-9625-94AB-8A8D8D37CD00}</x:author>
    <x:author>tc={91952D26-0AF8-37F1-7D08-19627B32FE9C}</x:author>
    <x:author>tc={2DFF53BC-7E4A-9AA4-800F-F9BE1CFF6B14}</x:author>
    <x:author>tc={D41BB22C-508A-7497-2C99-9CE918392C26}</x:author>
    <x:author>tc={BDBCB72B-1E04-640E-CAB8-F01C2A051783}</x:author>
    <x:author>tc={178B4EA8-0B55-DADD-2589-87B283E42FBB}</x:author>
    <x:author>tc={74F64FB1-AD7C-CA9C-AA98-3EC69C4D017F}</x:author>
    <x:author>tc={DB36328B-2E84-797E-190F-0D75E38374E4}</x:author>
    <x:author>tc={19838315-9CAF-D911-4F86-CC619EA44F96}</x:author>
    <x:author>tc={DDCC6A59-0E44-803B-27C6-C23FCB2BC547}</x:author>
    <x:author>tc={E2781D1E-2A24-2F5A-F2B6-EC8D9B7935E6}</x:author>
    <x:author>tc={E6CEBE67-51B8-90E4-50FF-0998C2D28F41}</x:author>
    <x:author>tc={DD59233E-683D-E312-0CA9-C223FE137929}</x:author>
    <x:author>tc={DD89DCB4-B17C-1302-DEBA-23F6EFE05150}</x:author>
    <x:author>tc={3FC5287E-F222-CE84-75E8-6CA6362A1551}</x:author>
    <x:author>tc={542F5610-0419-51A0-C27A-01E0146AF4C0}</x:author>
    <x:author>tc={3BC320A7-0E57-AF0C-CA9E-102B58782668}</x:author>
    <x:author>tc={A5ED22E5-7DE7-49E3-2CD9-2FAE6DA0725A}</x:author>
    <x:author>tc={D6714CDA-C750-E78C-B4C1-59F48CB12FBA}</x:author>
    <x:author>tc={80288948-D5C1-FF32-C861-D218D9D37D90}</x:author>
    <x:author>tc={269CACFA-3027-4B17-856D-2F3E4B8BF3AF}</x:author>
    <x:author>tc={3D1176A7-E9B4-4D33-8CBD-A6546A3403BF}</x:author>
    <x:author>tc={7E273068-2D9C-20FA-2E5A-6DF913596F83}</x:author>
    <x:author>tc={560954E7-5061-AA48-EB8B-AA42D90D8AE3}</x:author>
    <x:author>tc={A63B3E37-CFB9-0FA0-0930-9296D8D553B0}</x:author>
    <x:author>tc={BD0776E9-10BA-FDF5-ABE5-681C4E20E06E}</x:author>
    <x:author>tc={C158AA2F-61D1-3DF4-E438-0F7E07F3CF71}</x:author>
    <x:author>tc={29CF2D0E-16B8-34E1-64C8-6D7C651FE0D9}</x:author>
    <x:author>tc={399890F2-6922-8BB1-B3EE-FF5966A6C3EB}</x:author>
    <x:author>tc={A095CB2C-A594-0AEB-6785-12FB0E207C43}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2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2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2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2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2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3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3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3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3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3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3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3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3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3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3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4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4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4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4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4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45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4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47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4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49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50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51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U2: WESTEROS_ECONOMIC_REFERENCE.md (298 AC), price-book assumptions, converted from DA at 30 DA = 1 G. Horse fodder is M2.</x:t>
        </x:r>
      </x:text>
    </x:comment>
    <x:comment ref="D5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new item-specific base price in actual gold dragons. Not a quote or unit conversion. The previous price is retained in J where available; scenario market changes use I.</x:t>
        </x:r>
      </x:text>
    </x:comment>
    <x:comment ref="D5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new item-specific base price in actual gold dragons. Not a quote or unit conversion. The previous price is retained in J where available; scenario market changes use I.</x:t>
        </x:r>
      </x:text>
    </x:comment>
  </x:commentList>
</x:comments>
</file>

<file path=xl/comments8.xml><?xml version="1.0" encoding="utf-8"?>
<x:comments xmlns:x="http://schemas.openxmlformats.org/spreadsheetml/2006/main">
  <x:authors>
    <x:author>tc={8D335D61-3D35-72AA-EBD5-A54692A1EA0E}</x:author>
    <x:author>tc={14E93DAC-2404-5C41-EBBF-96654369E934}</x:author>
    <x:author>tc={F7159D2A-EC2C-CE94-B7C1-C2E7A15393A5}</x:author>
    <x:author>tc={76BBA452-1110-5BD0-ABB1-B6F012FB7D48}</x:author>
    <x:author>tc={F1A99000-E126-BF8F-1842-F4424AFB93DB}</x:author>
    <x:author>tc={AEA5C0EB-3461-608F-CE71-4D4E901D6CF4}</x:author>
    <x:author>tc={FC117CCD-CA85-F3DA-F8F6-115B54D77973}</x:author>
    <x:author>tc={A6B9A49E-FC87-87F7-A18B-1750AA5E7D8D}</x:author>
    <x:author>tc={562479F9-45AD-5EE2-011F-4BE6A924FA06}</x:author>
    <x:author>tc={31229B81-186C-B4BD-418A-43A71B7D46DB}</x:author>
    <x:author>tc={F052F7AA-7FA3-F933-8CB1-4ECD1BC32FCB}</x:author>
    <x:author>tc={8733BA02-8FFF-D154-4269-CD2B51865FD9}</x:author>
    <x:author>tc={D13923E8-6571-7ABD-FB5B-527A9289A22E}</x:author>
    <x:author>tc={68EE0533-2823-A13E-8476-D8F7821FDD8E}</x:author>
    <x:author>tc={8DFF4757-F9E6-CAAB-0B74-8CB299E52012}</x:author>
    <x:author>tc={C20DD2FB-80A4-9B88-A14B-2696145F1C7C}</x:author>
    <x:author>tc={CC57B4AB-D5EC-9711-9B4B-BBFB4E3435B5}</x:author>
    <x:author>tc={E35AAEBE-BCAF-DBF3-9945-44899988BF85}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configurable campaign assumption; historical analogy does not establish this exact setting.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configurable campaign assumption; historical analogy does not establish this exact setting.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configurable campaign assumption; historical analogy does not establish this exact setting.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configurable campaign assumption; historical analogy does not establish this exact setting.</x:t>
        </x:r>
      </x:text>
    </x:comment>
    <x:comment ref="B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configurable campaign assumption; historical analogy does not establish this exact setting.</x:t>
        </x:r>
      </x:text>
    </x:comment>
    <x:comment ref="B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configurable campaign assumption; historical analogy does not establish this exact setting.</x:t>
        </x:r>
      </x:text>
    </x:comment>
    <x:comment ref="B1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E1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F1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B1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E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F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B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E1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F1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B1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E1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  <x:comment ref="F18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hypothetical host. Owed service applies only to the indicated fraction; professionals can be paid from day one.</x:t>
        </x:r>
      </x:text>
    </x:comment>
  </x:commentList>
</x:comments>
</file>

<file path=xl/comments9.xml><?xml version="1.0" encoding="utf-8"?>
<x:comments xmlns:x="http://schemas.openxmlformats.org/spreadsheetml/2006/main">
  <x:authors>
    <x:author>tc={DAAE7A07-311E-4800-8D71-1C5153DC8A80}</x:author>
    <x:author>tc={DB450EC3-BEA2-D7C5-D8D8-11337129F794}</x:author>
    <x:author>tc={49B529B2-857F-1FAA-47AF-D25FA121E6F7}</x:author>
    <x:author>tc={A791FB8C-1768-FE6E-C326-06F14F0EB320}</x:author>
    <x:author>tc={4AC5C555-2756-890A-A397-A2A48F780538}</x:author>
    <x:author>tc={2E142349-5C43-122B-F348-3A414006E961}</x:author>
    <x:author>tc={4F19B245-3FAD-17E1-FB96-C76D6159CF36}</x:author>
    <x:author>tc={52AD48BF-CEAD-82C1-090F-A957CDA4EE12}</x:author>
    <x:author>tc={340A0488-F9DC-3B2D-615C-0A2CE08E5E9D}</x:author>
    <x:author>tc={ABC708B0-5558-CDEE-1C27-EB8AB175F7DC}</x:author>
    <x:author>tc={6FC96AA8-43DA-BF79-7D23-1644CC9EE948}</x:author>
    <x:author>tc={E0441719-C23C-CD1E-51AB-022D65EBF81B}</x:author>
    <x:author>tc={0AE56E1A-77A8-8332-D720-D416AB037A6B}</x:author>
    <x:author>tc={164D5750-2FFD-5A88-5C44-872647037D62}</x:author>
    <x:author>tc={1BCF18F8-6095-6DB4-4661-5EA823AC09CE}</x:author>
    <x:author>tc={393E8915-9E96-4B0C-9D6B-6BAFFEA606F8}</x:author>
    <x:author>tc={084DE1AE-87DB-807D-CFF8-48B9611D344B}</x:author>
    <x:author>tc={7E2793FC-5ED0-B009-395B-11EEF9EFF94E}</x:author>
    <x:author>tc={189DB203-04CD-44A9-D9BC-704D06452BEA}</x:author>
  </x:authors>
  <x:commentList>
    <x:comment ref="F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N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F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N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F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N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F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N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F9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N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F10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N10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F1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N1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F12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N1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F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N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physical scenario input. Public releases reduce owned stocks; food gaps do not directly determine mortality.</x:t>
        </x:r>
      </x:text>
    </x:comment>
    <x:comment ref="B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local grain-price scenario multiplier, not a researched universal scarcity elasticity.</x:t>
        </x:r>
      </x:text>
    </x:comment>
  </x:commentList>
</x:comments>
</file>

<file path=xl/comments10.xml><?xml version="1.0" encoding="utf-8"?>
<x:comments xmlns:x="http://schemas.openxmlformats.org/spreadsheetml/2006/main">
  <x:authors>
    <x:author>tc={7DF4D428-F8F1-AF53-9817-DFFA31842CAE}</x:author>
    <x:author>tc={BB5D84AD-4D20-57C3-6517-97706C797EBB}</x:author>
    <x:author>tc={7920F913-8331-EBAF-BACF-C58155DAE45B}</x:author>
    <x:author>tc={069FA682-5113-9B28-FDBE-6C06E2E47A6B}</x:author>
    <x:author>tc={D6004A3B-2F06-E310-3DA3-30B791E04192}</x:author>
    <x:author>tc={8923E285-6ADE-1262-B7C2-1ADE66097301}</x:author>
    <x:author>tc={F6D77CA1-EACC-5717-28E3-E318877882CA}</x:author>
    <x:author>tc={C2977EF3-D0EE-9554-7455-0C1189F110B3}</x:author>
    <x:author>tc={9967C95E-5633-A1F6-E5CC-0DB8C7DCE62F}</x:author>
    <x:author>tc={158B9604-0306-D74F-27FB-73D2CBF542E6}</x:author>
    <x:author>tc={48EBB821-D147-432D-1784-943D3F4120A4}</x:author>
    <x:author>tc={2DCE9E42-2DAE-C71A-E732-F4F1FE668561}</x:author>
    <x:author>tc={52BDA705-F4D2-6412-A817-94994D095C95}</x:author>
    <x:author>tc={40A13E72-833B-4E5F-C1C5-DF6F7E20C6D3}</x:author>
    <x:author>tc={882849C9-0FD6-0124-6172-22226A2E09DB}</x:author>
    <x:author>tc={80C0495F-EB23-63CA-97EA-3E2973FF9F39}</x:author>
    <x:author>tc={D936C5E2-0491-0ABA-BDB4-A2814F8B81E3}</x:author>
    <x:author>tc={110B21E9-5945-1476-8B71-12C45FBE5392}</x:author>
    <x:author>tc={34EC235A-3AE4-2788-EC96-7484951E5A27}</x:author>
    <x:author>tc={C5CBBE94-373E-9684-EDAC-8C0E7436926D}</x:author>
    <x:author>tc={EB411CFE-6BD6-CD43-231D-0D1A3169F81C}</x:author>
    <x:author>tc={6B424E54-DE60-507D-A584-5AF295584AD2}</x:author>
    <x:author>tc={6CADBB84-E72A-AFDB-7E35-3944563BEE0A}</x:author>
    <x:author>tc={276DCEED-08ED-FEF7-6BAF-9AF3EA757ECA}</x:author>
    <x:author>tc={99927E58-2799-AC20-AE05-FF0D584FDDEA}</x:author>
    <x:author>tc={FC840BCE-26F9-6812-3959-AB7EF4DC6218}</x:author>
    <x:author>tc={E63A0890-0BAC-3721-67A3-BE776A561E19}</x:author>
    <x:author>tc={5D938848-0460-CD6F-2D20-235A4BD08CCD}</x:author>
    <x:author>tc={F0A95009-8EFC-932F-238E-606B3757EA52}</x:author>
    <x:author>tc={9BE20CC2-72EE-EA6E-7B92-F024163A1F14}</x:author>
    <x:author>tc={57792103-1627-525A-0C60-1151FC04AAF6}</x:author>
    <x:author>tc={95E96E83-F2B0-0F30-12C9-D9D6F897CA08}</x:author>
    <x:author>tc={8D2F6860-517F-14B4-E6EE-A51895F266B4}</x:author>
    <x:author>tc={A74AEE64-732C-9FA9-2338-AEC64BFD0D2F}</x:author>
    <x:author>tc={D004DC65-A662-2655-1C0F-8F64BEF5D358}</x:author>
    <x:author>tc={07DB4F65-145C-2A28-1952-C21DC923ACC2}</x:author>
    <x:author>tc={F3249C78-8D46-9457-BF8D-964131A0ED68}</x:author>
    <x:author>tc={FC933D9C-7F75-B96E-E252-5B87F597F974}</x:author>
    <x:author>tc={C781B2D1-5CFB-84E4-345E-409B8E988AA7}</x:author>
    <x:author>tc={C91B24E4-E1F2-C4BF-BAA3-2EEEE7CC70CA}</x:author>
    <x:author>tc={C728BB3D-C3E3-8570-8E5B-5A84042F2BF2}</x:author>
    <x:author>tc={DD9AF11E-AE17-03EE-7DE7-9C72AC0F6E88}</x:author>
    <x:author>tc={4D30C996-6EB2-3106-0E11-9AC45DEEE6C6}</x:author>
    <x:author>tc={7966CCC6-077A-A42D-E2AC-BFFB2EA6837C}</x:author>
    <x:author>tc={9A4CE497-ADB4-1B33-0E8E-17463DBCDA6D}</x:author>
    <x:author>tc={C7414F88-E823-E1A1-C118-CC629FD9DDA6}</x:author>
    <x:author>tc={C4A3DCB3-8C4E-9F85-72B1-8CE8D4D9604C}</x:author>
    <x:author>tc={59952033-46EB-94EE-EF23-AB0B180C0CCA}</x:author>
    <x:author>tc={E27498C5-4946-C5CD-84E5-5DC088E22BF9}</x:author>
    <x:author>tc={47CA73D6-0A7B-F775-8713-326D566F1F27}</x:author>
    <x:author>tc={10B0B660-48AF-35C7-B494-59417FB87D50}</x:author>
    <x:author>tc={3D42F2F6-084B-89AE-536E-D5F5CA852CE3}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See the source / limitation in this row: U2 price scale or M2 physical convention.</x:t>
        </x:r>
      </x:text>
    </x:comment>
    <x:comment ref="B25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25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25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26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2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2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2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27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27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28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28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28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29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29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29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30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30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30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3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31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3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3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3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3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3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3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3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34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34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34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35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35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35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B36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C36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  <x:comment ref="D36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M2: turn calendar shares, not an asserted Westerosi calendar.</x:t>
        </x:r>
      </x:text>
    </x:comment>
  </x:commentList>
</x:comments>
</file>

<file path=xl/comments11.xml><?xml version="1.0" encoding="utf-8"?>
<x:comments xmlns:x="http://schemas.openxmlformats.org/spreadsheetml/2006/main">
  <x:authors>
    <x:author>tc={D35657D8-BED6-584E-D22A-9629BD93AE79}</x:author>
    <x:author>tc={39886D1A-8D2F-2D1A-4CB9-53BF0E3B80E0}</x:author>
    <x:author>tc={2D05876D-D091-DA1F-C441-BE979AD71EA1}</x:author>
    <x:author>tc={DF96350C-B2DC-8928-69C9-1BD461BA9964}</x:author>
    <x:author>tc={A4F9ECD3-FA4C-14B6-F79F-281EE3C5587F}</x:author>
    <x:author>tc={E190DE2B-B66E-5A59-211F-9E6CD3D3F8B7}</x:author>
    <x:author>tc={9C0F94C0-B382-1E1C-2C3A-125732DF3569}</x:author>
    <x:author>tc={B44A9FB7-1472-3606-6492-54FE251BDFE5}</x:author>
    <x:author>tc={760DE39C-B58C-5126-D196-6C9592395029}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sector proportions retained from the previous model, now used to allocate the revised direct cash component. Not a source-proven breakdown.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sector proportions retained from the previous model, now used to allocate the revised direct cash component. Not a source-proven breakdown.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sector proportions retained from the previous model, now used to allocate the revised direct cash component. Not a source-proven breakdown.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sector proportions retained from the previous model, now used to allocate the revised direct cash component. Not a source-proven breakdown.</x:t>
        </x:r>
      </x:text>
    </x:comment>
    <x:comment ref="B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sector proportions retained from the previous model, now used to allocate the revised direct cash component. Not a source-proven breakdown.</x:t>
        </x:r>
      </x:text>
    </x:comment>
    <x:comment ref="B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sector proportions retained from the previous model, now used to allocate the revised direct cash component. Not a source-proven breakdown.</x:t>
        </x:r>
      </x:text>
    </x:comment>
    <x:comment ref="B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sector proportions retained from the previous model, now used to allocate the revised direct cash component. Not a source-proven breakdown.</x:t>
        </x:r>
      </x:text>
    </x:comment>
    <x:comment ref="B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sector proportions retained from the previous model, now used to allocate the revised direct cash component. Not a source-proven breakdown.</x:t>
        </x:r>
      </x:text>
    </x:comment>
    <x:comment ref="B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sector proportions retained from the previous model, now used to allocate the revised direct cash component. Not a source-proven breakdown.</x:t>
        </x:r>
      </x:text>
    </x:comment>
  </x:commentList>
</x:comments>
</file>

<file path=xl/comments12.xml><?xml version="1.0" encoding="utf-8"?>
<x:comments xmlns:x="http://schemas.openxmlformats.org/spreadsheetml/2006/main">
  <x:authors>
    <x:author>tc={48B4921E-EF7A-22A1-6C44-D4101FF6BF97}</x:author>
    <x:author>tc={D98C1473-0361-703C-7B1B-173A18B2C654}</x:author>
    <x:author>tc={D9D0BB3C-D004-2841-40DA-4875FB8D0CAE}</x:author>
    <x:author>tc={0DF28BAC-6445-35E9-12D4-C9BDB5CFDC58}</x:author>
    <x:author>tc={CB94A3ED-6CAB-F41F-52B6-F04879879AD7}</x:author>
    <x:author>tc={2D7755BC-868F-3B49-F730-03CFADC816D0}</x:author>
    <x:author>tc={F0E7E49B-1C0A-204E-B4FC-BA76E1EF038E}</x:author>
    <x:author>tc={3E70AA70-5B53-7673-7A77-55C64D841E17}</x:author>
    <x:author>tc={FCE0E326-C464-FBE3-638C-155856DC71D1}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planned goods use is 85% of baseline tax quantity, independent of current collection losses. A planning allocation, not a historical norm.</x:t>
        </x:r>
      </x:text>
    </x:comment>
    <x:comment ref="C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planned goods use is 85% of baseline tax quantity, independent of current collection losses. A planning allocation, not a historical norm.</x:t>
        </x:r>
      </x:text>
    </x:comment>
    <x:comment ref="C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planned goods use is 85% of baseline tax quantity, independent of current collection losses. A planning allocation, not a historical norm.</x:t>
        </x:r>
      </x:text>
    </x:comment>
    <x:comment ref="C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planned goods use is 85% of baseline tax quantity, independent of current collection losses. A planning allocation, not a historical norm.</x:t>
        </x:r>
      </x:text>
    </x:comment>
    <x:comment ref="C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planned goods use is 85% of baseline tax quantity, independent of current collection losses. A planning allocation, not a historical norm.</x:t>
        </x:r>
      </x:text>
    </x:comment>
    <x:comment ref="C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planned goods use is 85% of baseline tax quantity, independent of current collection losses. A planning allocation, not a historical norm.</x:t>
        </x:r>
      </x:text>
    </x:comment>
    <x:comment ref="C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planned goods use is 85% of baseline tax quantity, independent of current collection losses. A planning allocation, not a historical norm.</x:t>
        </x:r>
      </x:text>
    </x:comment>
    <x:comment ref="C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planned goods use is 85% of baseline tax quantity, independent of current collection losses. A planning allocation, not a historical norm.</x:t>
        </x:r>
      </x:text>
    </x:comment>
    <x:comment ref="C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planned goods use is 85% of baseline tax quantity, independent of current collection losses. A planning allocation, not a historical norm.</x:t>
        </x:r>
      </x:text>
    </x:comment>
  </x:commentList>
</x:comments>
</file>

<file path=xl/comments13.xml><?xml version="1.0" encoding="utf-8"?>
<x:comments xmlns:x="http://schemas.openxmlformats.org/spreadsheetml/2006/main">
  <x:authors>
    <x:author>tc={7F4B4344-F0B3-4AC6-E193-AB2696B62679}</x:author>
    <x:author>tc={F332ED85-9688-C296-9729-6510D129EA64}</x:author>
    <x:author>tc={F1AF16BB-D26C-8276-D9F1-A67B5B887D29}</x:author>
    <x:author>tc={33E458B7-0BF4-A132-B8B0-A0D1AF9E9487}</x:author>
    <x:author>tc={F965872D-ABCE-A257-9B12-86A01194E6B6}</x:author>
    <x:author>tc={42C21C81-862B-3501-3D04-DB2EBDB1DD73}</x:author>
    <x:author>tc={D85EB226-B2B6-5A22-ADE0-050CC151D235}</x:author>
    <x:author>tc={54444911-F2A7-3064-5262-966E6F914592}</x:author>
    <x:author>tc={D61E7767-7388-89A8-B7B7-F55EC548FC7D}</x:author>
    <x:author>tc={736E32FF-D2EE-2629-0897-DB800E4FE767}</x:author>
    <x:author>tc={13F4009F-33B6-ED96-91F5-FA630CC2A441}</x:author>
    <x:author>tc={6F7EDD19-E4A1-E8B9-2D3D-62B3D151C08C}</x:author>
    <x:author>tc={F44A7F95-0792-C5D9-CF9A-96FE9CB284D6}</x:author>
    <x:author>tc={A94CB711-7749-2B86-274B-D30E91CC2D7E}</x:author>
    <x:author>tc={AA15B8F4-2E2A-AC86-EFBE-640D705F8EB1}</x:author>
    <x:author>tc={78DBBDB7-FFC5-64E8-290C-C61BC59709D7}</x:author>
    <x:author>tc={8EBEFB60-74F3-B4D1-041F-2C91C60B1ADA}</x:author>
    <x:author>tc={D76DE651-EEA6-D2D0-263C-AE599B493FA5}</x:author>
    <x:author>tc={737E91F7-7250-2977-8C76-F21F2F2D68E8}</x:author>
    <x:author>tc={91811F8A-8919-171F-0D44-D56D8CF1BC81}</x:author>
    <x:author>tc={3DCF0FC9-F474-AE8F-A18D-5947676B2673}</x:author>
    <x:author>tc={8E8A4DBD-11DA-2BA1-E63C-0C16B77CC1FA}</x:author>
    <x:author>tc={0777125A-3D03-8C41-B4E1-C7CD5D7577B1}</x:author>
    <x:author>tc={14CF3133-7BCC-AADC-2EEC-7E6E8EB205D4}</x:author>
    <x:author>tc={AC0D705B-181C-D2C2-6477-0635B06EC0E1}</x:author>
    <x:author>tc={7D06F39B-DD38-AE76-F41A-D77FAA673B15}</x:author>
    <x:author>tc={5C91DB68-0F2F-1E5A-DC17-0D31E0450A00}</x:author>
    <x:author>tc={48081785-FA43-7BB7-C9CD-1F338A176D9E}</x:author>
    <x:author>tc={0F8039DC-B82C-4621-D791-4A55303EA6B8}</x:author>
    <x:author>tc={10FC9038-6C54-CB17-61DA-693A15FEDA00}</x:author>
    <x:author>tc={34E61DBC-1367-D850-C629-6602E7D878A0}</x:author>
    <x:author>tc={92771868-64C4-242D-18F8-F8DFE69457B1}</x:author>
    <x:author>tc={6167D0A4-F770-2194-CEAF-2E76F8EF5D95}</x:author>
    <x:author>tc={1B7BBD90-3F8E-042A-654C-B71F6AEC2BF5}</x:author>
    <x:author>tc={28C76AD1-EA97-57CD-8D6E-F57BA9A20D2C}</x:author>
    <x:author>tc={32931FF3-535B-B50A-15B3-71529E51119A}</x:author>
    <x:author>tc={A9BD1B8D-FEF0-0A9B-86DE-BE6D585F1673}</x:author>
    <x:author>tc={8E444670-4DAD-15AD-E30B-BEFFEF67B637}</x:author>
    <x:author>tc={A4C6E3A0-3C46-F3E0-5757-7AF7E9695327}</x:author>
    <x:author>tc={F80A70B9-B300-B9E7-E843-0F5C4819CF40}</x:author>
    <x:author>tc={18125608-5913-2FE5-147C-FCB10F9C1B47}</x:author>
    <x:author>tc={D090297A-D151-24EC-9B45-7C7BF1801CA4}</x:author>
    <x:author>tc={39B37B3F-F8E0-9BBC-306E-0FB77AC96635}</x:author>
    <x:author>tc={FB12A60F-904F-1882-81CA-0DF41687309B}</x:author>
    <x:author>tc={1076FF6A-F9A1-A840-F6BC-54390907CDCE}</x:author>
    <x:author>tc={73295119-10A8-B725-CFA2-1319096875CF}</x:author>
    <x:author>tc={9465B71F-0EF4-7247-5474-0F6217872780}</x:author>
    <x:author>tc={AC64E96B-CE0D-ECE6-27CF-105416386C7C}</x:author>
    <x:author>tc={C7ABBEBB-9FEA-6F60-DCD9-42332D43BAEC}</x:author>
    <x:author>tc={343124BA-06F6-487D-D2D1-91C4EE50FAD0}</x:author>
    <x:author>tc={E649421D-1294-13E0-2A4F-143B7A6CB9A2}</x:author>
    <x:author>tc={D0DB5ACD-F087-10DC-0B32-7FCFD52ACB52}</x:author>
    <x:author>tc={35F26D67-85F4-1A6A-B116-873C3410563E}</x:author>
    <x:author>tc={4880BC0B-E9F8-EEBD-8B2B-9C6402B4CE64}</x:author>
    <x:author>tc={5CB5DB65-DCF3-BE4D-DD14-E47427EE6D8A}</x:author>
    <x:author>tc={2ACDBB63-631B-7AC2-0178-B3A76DFFAC06}</x:author>
    <x:author>tc={9281A940-9738-DBEE-D62D-0E0D27070C38}</x:author>
    <x:author>tc={B548DF15-B464-1514-EB57-185C58EBB3FC}</x:author>
    <x:author>tc={B050664A-A985-A2AB-5E1F-623AA42E43DE}</x:author>
    <x:author>tc={98297052-5E0D-94EE-121A-581DD08CDE8E}</x:author>
    <x:author>tc={298030EB-C3DE-7675-D957-47A59478EC9B}</x:author>
    <x:author>tc={3D7601F0-19A2-97E0-AE78-916DA0F4C6AC}</x:author>
    <x:author>tc={07FBE86A-FEEF-3F71-64CE-97D976488E6F}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2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2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2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2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2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3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3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3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3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3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3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3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3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3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3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4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4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4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4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4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45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4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47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4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49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50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51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5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5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5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5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56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57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58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59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60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61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62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63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64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65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66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  <x:comment ref="D6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M3: planning commodity mix and opening non-grain stock assumptions. Quantity proxies are not researched inventories. See the Units column and handbook.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;[Red](#,##0);&quot;-&quot;"/>
    <x:numFmt numFmtId="201" formatCode="0.00"/>
    <x:numFmt numFmtId="202" formatCode="0.0%"/>
    <x:numFmt numFmtId="203" formatCode="0.0"/>
    <x:numFmt numFmtId="204" formatCode="0.00&quot;x&quot;"/>
    <x:numFmt numFmtId="205" formatCode="0.0000"/>
    <x:numFmt numFmtId="206" formatCode="0%"/>
    <x:numFmt numFmtId="207" formatCode="#,##0.00;[Red](#,##0.00);&quot;-&quot;"/>
    <x:numFmt numFmtId="208" formatCode="0.000000"/>
    <x:numFmt numFmtId="209" formatCode="0.000000;[Red](0.000000);&quot;-&quot;"/>
    <x:numFmt numFmtId="210" formatCode="0.000;[Red](0.000);&quot;-&quot;"/>
    <x:numFmt numFmtId="211" formatCode="0.0&quot;x&quot;"/>
  </x:numFmts>
  <x:fonts count="35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7"/>
      <x:color rgb="FFFFFFFF"/>
      <x:name val="Aptos"/>
    </x:font>
    <x:font>
      <x:b/>
      <x:sz val="10"/>
      <x:color rgb="FFFFFFFF"/>
      <x:name val="Aptos"/>
    </x:font>
    <x:font>
      <x:sz val="10"/>
      <x:color rgb="FF000000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b/>
      <x:sz val="10"/>
      <x:color rgb="FF000000"/>
      <x:name val="Aptos"/>
    </x:font>
    <x:font>
      <x:b/>
      <x:sz val="10"/>
      <x:name val="Aptos"/>
    </x:font>
    <x:font>
      <x:b/>
      <x:sz val="17"/>
      <x:color rgb="FFFFFFFF"/>
      <x:name val="Arial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2"/>
      <x:color rgb="FFFFFFFF"/>
      <x:name val="Arial"/>
    </x:font>
    <x:font>
      <x:sz val="12"/>
      <x:name val="Arial"/>
    </x:font>
    <x:font>
      <x:b/>
      <x:sz val="12"/>
      <x:name val="Arial"/>
    </x:font>
    <x:font>
      <x:sz val="12"/>
      <x:color rgb="FF000000"/>
      <x:name val="Arial"/>
    </x:font>
    <x:font>
      <x:b/>
      <x:sz val="12"/>
      <x:color rgb="FF000000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2"/>
      <x:color rgb="FF008000"/>
      <x:name val="Arial"/>
    </x:font>
    <x:font>
      <x:sz val="10"/>
      <x:color rgb="FF0000FF"/>
      <x:name val="Arial"/>
    </x:font>
    <x:font>
      <x:sz val="12"/>
      <x:color rgb="FF0000FF"/>
      <x:name val="Arial"/>
    </x:font>
    <x:font>
      <x:b/>
      <x:sz val="19"/>
      <x:color rgb="FF173E46"/>
      <x:name val="Arial"/>
    </x:font>
    <x:font>
      <x:b/>
      <x:sz val="20"/>
      <x:color rgb="FFFFFFFF"/>
      <x:name val="Arial"/>
    </x:font>
    <x:font>
      <x:sz val="20"/>
      <x:name val="Arial"/>
    </x:font>
    <x:font>
      <x:b/>
      <x:sz val="20"/>
      <x:name val="Arial"/>
    </x:font>
    <x:font>
      <x:b/>
      <x:sz val="13"/>
      <x:color rgb="FFFFFFFF"/>
      <x:name val="Arial"/>
    </x:font>
    <x:font>
      <x:sz val="13"/>
      <x:name val="Arial"/>
    </x:font>
    <x:font>
      <x:b/>
      <x:sz val="13"/>
      <x:name val="Arial"/>
    </x:font>
    <x:font>
      <x:sz val="13"/>
      <x:color rgb="FF000000"/>
      <x:name val="Arial"/>
    </x:font>
    <x:font>
      <x:b/>
      <x:sz val="13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6B73"/>
      </x:patternFill>
    </x:fill>
    <x:fill>
      <x:patternFill patternType="solid">
        <x:fgColor rgb="FFEAF1F5"/>
      </x:patternFill>
    </x:fill>
    <x:fill>
      <x:patternFill patternType="solid">
        <x:fgColor rgb="FFF1E4BE"/>
      </x:patternFill>
    </x:fill>
    <x:fill>
      <x:patternFill patternType="solid">
        <x:fgColor rgb="FF236873"/>
      </x:patternFill>
    </x:fill>
  </x:fills>
  <x:borders count="2">
    <x:border/>
    <x:border/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4" fontId="6" fillId="5" borderId="0" xfId="0" applyNumberFormat="1" applyFont="1" applyFill="1" applyBorder="1"/>
    <x:xf numFmtId="204" fontId="6" fillId="5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200" fontId="5" fillId="0" borderId="0" xfId="0" applyNumberFormat="1" applyFont="1" applyFill="1" applyBorder="1"/>
    <x:xf numFmtId="200" fontId="7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205" fontId="7" fillId="0" borderId="0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205" fontId="7" fillId="0" borderId="1" xfId="0" applyNumberFormat="1" applyFont="1" applyFill="1" applyBorder="1" applyAlignment="1">
      <x:alignment wrapText="1"/>
    </x:xf>
    <x:xf numFmtId="207" fontId="7" fillId="0" borderId="0" xfId="0" applyNumberFormat="1" applyFont="1" applyFill="1" applyBorder="1"/>
    <x:xf numFmtId="207" fontId="6" fillId="0" borderId="0" xfId="0" applyNumberFormat="1" applyFont="1" applyFill="1" applyBorder="1"/>
    <x:xf numFmtId="207" fontId="5" fillId="0" borderId="0" xfId="0" applyNumberFormat="1" applyFont="1" applyFill="1" applyBorder="1"/>
    <x:xf numFmtId="207" fontId="7" fillId="0" borderId="1" xfId="0" applyNumberFormat="1" applyFont="1" applyFill="1" applyBorder="1"/>
    <x:xf numFmtId="207" fontId="6" fillId="0" borderId="1" xfId="0" applyNumberFormat="1" applyFont="1" applyFill="1" applyBorder="1"/>
    <x:xf numFmtId="207" fontId="5" fillId="0" borderId="1" xfId="0" applyNumberFormat="1" applyFont="1" applyFill="1" applyBorder="1"/>
    <x:xf numFmtId="208" fontId="7" fillId="0" borderId="0" xfId="0" applyNumberFormat="1" applyFont="1" applyFill="1" applyBorder="1"/>
    <x:xf numFmtId="208" fontId="7" fillId="0" borderId="1" xfId="0" applyNumberFormat="1" applyFont="1" applyFill="1" applyBorder="1"/>
    <x:xf numFmtId="207" fontId="7" fillId="5" borderId="0" xfId="0" applyNumberFormat="1" applyFont="1" applyFill="1" applyBorder="1"/>
    <x:xf numFmtId="207" fontId="7" fillId="5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7" fontId="7" fillId="4" borderId="0" xfId="0" applyNumberFormat="1" applyFont="1" applyFill="1" applyBorder="1"/>
    <x:xf numFmtId="207" fontId="7" fillId="4" borderId="1" xfId="0" applyNumberFormat="1" applyFont="1" applyFill="1" applyBorder="1"/>
    <x:xf numFmtId="0" fontId="8" fillId="5" borderId="0" xfId="0" applyNumberFormat="1" applyFont="1" applyFill="1" applyBorder="1"/>
    <x:xf numFmtId="200" fontId="8" fillId="5" borderId="0" xfId="0" applyNumberFormat="1" applyFont="1" applyFill="1" applyBorder="1"/>
    <x:xf numFmtId="0" fontId="8" fillId="5" borderId="1" xfId="0" applyNumberFormat="1" applyFont="1" applyFill="1" applyBorder="1"/>
    <x:xf numFmtId="200" fontId="8" fillId="5" borderId="1" xfId="0" applyNumberFormat="1" applyFont="1" applyFill="1" applyBorder="1"/>
    <x:xf numFmtId="200" fontId="5" fillId="3" borderId="0" xfId="0" applyNumberFormat="1" applyFont="1" applyFill="1" applyBorder="1"/>
    <x:xf numFmtId="200" fontId="4" fillId="3" borderId="0" xfId="0" applyNumberFormat="1" applyFont="1" applyFill="1" applyBorder="1"/>
    <x:xf numFmtId="200" fontId="5" fillId="3" borderId="1" xfId="0" applyNumberFormat="1" applyFont="1" applyFill="1" applyBorder="1"/>
    <x:xf numFmtId="200" fontId="4" fillId="3" borderId="1" xfId="0" applyNumberFormat="1" applyFont="1" applyFill="1" applyBorder="1"/>
    <x:xf numFmtId="209" fontId="7" fillId="0" borderId="0" xfId="0" applyNumberFormat="1" applyFont="1" applyFill="1" applyBorder="1"/>
    <x:xf numFmtId="209" fontId="5" fillId="0" borderId="0" xfId="0" applyNumberFormat="1" applyFont="1" applyFill="1" applyBorder="1"/>
    <x:xf numFmtId="209" fontId="7" fillId="0" borderId="1" xfId="0" applyNumberFormat="1" applyFont="1" applyFill="1" applyBorder="1"/>
    <x:xf numFmtId="209" fontId="5" fillId="0" borderId="1" xfId="0" applyNumberFormat="1" applyFont="1" applyFill="1" applyBorder="1"/>
    <x:xf numFmtId="209" fontId="5" fillId="4" borderId="0" xfId="0" applyNumberFormat="1" applyFont="1" applyFill="1" applyBorder="1"/>
    <x:xf numFmtId="209" fontId="5" fillId="4" borderId="0" xfId="0" applyNumberFormat="1" applyFont="1" applyFill="1" applyBorder="1" applyAlignment="1">
      <x:alignment wrapText="1"/>
    </x:xf>
    <x:xf numFmtId="209" fontId="5" fillId="4" borderId="1" xfId="0" applyNumberFormat="1" applyFont="1" applyFill="1" applyBorder="1"/>
    <x:xf numFmtId="209" fontId="5" fillId="4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4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4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4" fillId="4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7" fillId="4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19" fillId="4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0" fontId="19" fillId="4" borderId="0" xfId="0" applyNumberFormat="1" applyFont="1" applyFill="1" applyBorder="1" applyAlignment="1">
      <x:alignment wrapText="1"/>
    </x:xf>
    <x:xf numFmtId="0" fontId="21" fillId="3" borderId="0" xfId="0" applyNumberFormat="1" applyFont="1" applyFill="1" applyBorder="1" applyAlignment="1">
      <x:alignment wrapText="1"/>
    </x:xf>
    <x:xf numFmtId="200" fontId="22" fillId="0" borderId="0" xfId="0" applyNumberFormat="1" applyFont="1" applyFill="1" applyBorder="1"/>
    <x:xf numFmtId="0" fontId="15" fillId="5" borderId="0" xfId="0" applyNumberFormat="1" applyFont="1" applyFill="1" applyBorder="1"/>
    <x:xf numFmtId="200" fontId="15" fillId="5" borderId="0" xfId="0" applyNumberFormat="1" applyFont="1" applyFill="1" applyBorder="1"/>
    <x:xf numFmtId="200" fontId="14" fillId="0" borderId="0" xfId="0" applyNumberFormat="1" applyFont="1" applyFill="1" applyBorder="1"/>
    <x:xf numFmtId="0" fontId="21" fillId="3" borderId="0" xfId="0" applyNumberFormat="1" applyFont="1" applyFill="1" applyBorder="1"/>
    <x:xf numFmtId="200" fontId="21" fillId="3" borderId="0" xfId="0" applyNumberFormat="1" applyFont="1" applyFill="1" applyBorder="1"/>
    <x:xf numFmtId="200" fontId="14" fillId="0" borderId="0" xfId="0" applyNumberFormat="1" applyFont="1" applyFill="1" applyBorder="1" applyAlignment="1">
      <x:alignment wrapText="1"/>
    </x:xf>
    <x:xf numFmtId="0" fontId="16" fillId="3" borderId="0" xfId="0" applyNumberFormat="1" applyFont="1" applyFill="1" applyBorder="1" applyAlignment="1">
      <x:alignment wrapText="1"/>
    </x:xf>
    <x:xf numFmtId="200" fontId="23" fillId="0" borderId="0" xfId="0" applyNumberFormat="1" applyFont="1" applyFill="1" applyBorder="1"/>
    <x:xf numFmtId="0" fontId="20" fillId="5" borderId="0" xfId="0" applyNumberFormat="1" applyFont="1" applyFill="1" applyBorder="1"/>
    <x:xf numFmtId="200" fontId="20" fillId="5" borderId="0" xfId="0" applyNumberFormat="1" applyFont="1" applyFill="1" applyBorder="1"/>
    <x:xf numFmtId="200" fontId="19" fillId="0" borderId="0" xfId="0" applyNumberFormat="1" applyFont="1" applyFill="1" applyBorder="1"/>
    <x:xf numFmtId="0" fontId="16" fillId="3" borderId="0" xfId="0" applyNumberFormat="1" applyFont="1" applyFill="1" applyBorder="1"/>
    <x:xf numFmtId="200" fontId="16" fillId="3" borderId="0" xfId="0" applyNumberFormat="1" applyFont="1" applyFill="1" applyBorder="1"/>
    <x:xf numFmtId="200" fontId="19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/>
    <x:xf numFmtId="200" fontId="24" fillId="0" borderId="0" xfId="0" applyNumberFormat="1" applyFont="1" applyFill="1" applyBorder="1"/>
    <x:xf numFmtId="201" fontId="24" fillId="0" borderId="0" xfId="0" applyNumberFormat="1" applyFont="1" applyFill="1" applyBorder="1"/>
    <x:xf numFmtId="202" fontId="24" fillId="0" borderId="0" xfId="0" applyNumberFormat="1" applyFont="1" applyFill="1" applyBorder="1"/>
    <x:xf numFmtId="203" fontId="24" fillId="0" borderId="0" xfId="0" applyNumberFormat="1" applyFont="1" applyFill="1" applyBorder="1"/>
    <x:xf numFmtId="204" fontId="24" fillId="0" borderId="0" xfId="0" applyNumberFormat="1" applyFont="1" applyFill="1" applyBorder="1"/>
    <x:xf numFmtId="0" fontId="24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/>
    <x:xf numFmtId="200" fontId="25" fillId="0" borderId="0" xfId="0" applyNumberFormat="1" applyFont="1" applyFill="1" applyBorder="1"/>
    <x:xf numFmtId="201" fontId="25" fillId="0" borderId="0" xfId="0" applyNumberFormat="1" applyFont="1" applyFill="1" applyBorder="1"/>
    <x:xf numFmtId="202" fontId="25" fillId="0" borderId="0" xfId="0" applyNumberFormat="1" applyFont="1" applyFill="1" applyBorder="1"/>
    <x:xf numFmtId="203" fontId="25" fillId="0" borderId="0" xfId="0" applyNumberFormat="1" applyFont="1" applyFill="1" applyBorder="1"/>
    <x:xf numFmtId="204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204" fontId="24" fillId="5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5" borderId="0" xfId="0" applyNumberFormat="1" applyFont="1" applyFill="1" applyBorder="1"/>
    <x:xf numFmtId="200" fontId="14" fillId="5" borderId="0" xfId="0" applyNumberFormat="1" applyFont="1" applyFill="1" applyBorder="1"/>
    <x:xf numFmtId="204" fontId="25" fillId="5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19" fillId="5" borderId="0" xfId="0" applyNumberFormat="1" applyFont="1" applyFill="1" applyBorder="1"/>
    <x:xf numFmtId="200" fontId="19" fillId="5" borderId="0" xfId="0" applyNumberFormat="1" applyFont="1" applyFill="1" applyBorder="1"/>
    <x:xf numFmtId="206" fontId="24" fillId="0" borderId="0" xfId="0" applyNumberFormat="1" applyFont="1" applyFill="1" applyBorder="1"/>
    <x:xf numFmtId="206" fontId="25" fillId="0" borderId="0" xfId="0" applyNumberFormat="1" applyFont="1" applyFill="1" applyBorder="1"/>
    <x:xf numFmtId="202" fontId="22" fillId="0" borderId="0" xfId="0" applyNumberFormat="1" applyFont="1" applyFill="1" applyBorder="1"/>
    <x:xf numFmtId="202" fontId="23" fillId="0" borderId="0" xfId="0" applyNumberFormat="1" applyFont="1" applyFill="1" applyBorder="1"/>
    <x:xf numFmtId="200" fontId="24" fillId="0" borderId="0" xfId="0" applyNumberFormat="1" applyFont="1" applyFill="1" applyBorder="1" applyAlignment="1">
      <x:alignment wrapText="1"/>
    </x:xf>
    <x:xf numFmtId="200" fontId="25" fillId="0" borderId="0" xfId="0" applyNumberFormat="1" applyFont="1" applyFill="1" applyBorder="1" applyAlignment="1">
      <x:alignment wrapText="1"/>
    </x:xf>
    <x:xf numFmtId="205" fontId="24" fillId="0" borderId="0" xfId="0" applyNumberFormat="1" applyFont="1" applyFill="1" applyBorder="1" applyAlignment="1">
      <x:alignment wrapText="1"/>
    </x:xf>
    <x:xf numFmtId="205" fontId="22" fillId="0" borderId="0" xfId="0" applyNumberFormat="1" applyFont="1" applyFill="1" applyBorder="1" applyAlignment="1">
      <x:alignment wrapText="1"/>
    </x:xf>
    <x:xf numFmtId="205" fontId="25" fillId="0" borderId="0" xfId="0" applyNumberFormat="1" applyFont="1" applyFill="1" applyBorder="1" applyAlignment="1">
      <x:alignment wrapText="1"/>
    </x:xf>
    <x:xf numFmtId="205" fontId="23" fillId="0" borderId="0" xfId="0" applyNumberFormat="1" applyFont="1" applyFill="1" applyBorder="1" applyAlignment="1">
      <x:alignment wrapText="1"/>
    </x:xf>
    <x:xf numFmtId="208" fontId="22" fillId="0" borderId="0" xfId="0" applyNumberFormat="1" applyFont="1" applyFill="1" applyBorder="1"/>
    <x:xf numFmtId="207" fontId="24" fillId="0" borderId="0" xfId="0" applyNumberFormat="1" applyFont="1" applyFill="1" applyBorder="1"/>
    <x:xf numFmtId="207" fontId="22" fillId="0" borderId="0" xfId="0" applyNumberFormat="1" applyFont="1" applyFill="1" applyBorder="1"/>
    <x:xf numFmtId="207" fontId="14" fillId="0" borderId="0" xfId="0" applyNumberFormat="1" applyFont="1" applyFill="1" applyBorder="1"/>
    <x:xf numFmtId="207" fontId="22" fillId="5" borderId="0" xfId="0" applyNumberFormat="1" applyFont="1" applyFill="1" applyBorder="1"/>
    <x:xf numFmtId="208" fontId="23" fillId="0" borderId="0" xfId="0" applyNumberFormat="1" applyFont="1" applyFill="1" applyBorder="1"/>
    <x:xf numFmtId="207" fontId="25" fillId="0" borderId="0" xfId="0" applyNumberFormat="1" applyFont="1" applyFill="1" applyBorder="1"/>
    <x:xf numFmtId="207" fontId="23" fillId="0" borderId="0" xfId="0" applyNumberFormat="1" applyFont="1" applyFill="1" applyBorder="1"/>
    <x:xf numFmtId="207" fontId="19" fillId="0" borderId="0" xfId="0" applyNumberFormat="1" applyFont="1" applyFill="1" applyBorder="1"/>
    <x:xf numFmtId="207" fontId="23" fillId="5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203" fontId="22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203" fontId="23" fillId="0" borderId="0" xfId="0" applyNumberFormat="1" applyFont="1" applyFill="1" applyBorder="1"/>
    <x:xf numFmtId="0" fontId="22" fillId="0" borderId="0" xfId="0" applyNumberFormat="1" applyFont="1" applyFill="1" applyBorder="1"/>
    <x:xf numFmtId="0" fontId="14" fillId="4" borderId="0" xfId="0" applyNumberFormat="1" applyFont="1" applyFill="1" applyBorder="1"/>
    <x:xf numFmtId="207" fontId="22" fillId="4" borderId="0" xfId="0" applyNumberFormat="1" applyFont="1" applyFill="1" applyBorder="1"/>
    <x:xf numFmtId="0" fontId="22" fillId="4" borderId="0" xfId="0" applyNumberFormat="1" applyFont="1" applyFill="1" applyBorder="1"/>
    <x:xf numFmtId="0" fontId="23" fillId="0" borderId="0" xfId="0" applyNumberFormat="1" applyFont="1" applyFill="1" applyBorder="1"/>
    <x:xf numFmtId="0" fontId="19" fillId="4" borderId="0" xfId="0" applyNumberFormat="1" applyFont="1" applyFill="1" applyBorder="1"/>
    <x:xf numFmtId="207" fontId="23" fillId="4" borderId="0" xfId="0" applyNumberFormat="1" applyFont="1" applyFill="1" applyBorder="1"/>
    <x:xf numFmtId="0" fontId="23" fillId="4" borderId="0" xfId="0" applyNumberFormat="1" applyFont="1" applyFill="1" applyBorder="1"/>
    <x:xf numFmtId="205" fontId="24" fillId="0" borderId="0" xfId="0" applyNumberFormat="1" applyFont="1" applyFill="1" applyBorder="1"/>
    <x:xf numFmtId="205" fontId="25" fillId="0" borderId="0" xfId="0" applyNumberFormat="1" applyFont="1" applyFill="1" applyBorder="1"/>
    <x:xf numFmtId="209" fontId="22" fillId="0" borderId="0" xfId="0" applyNumberFormat="1" applyFont="1" applyFill="1" applyBorder="1"/>
    <x:xf numFmtId="209" fontId="14" fillId="0" borderId="0" xfId="0" applyNumberFormat="1" applyFont="1" applyFill="1" applyBorder="1"/>
    <x:xf numFmtId="209" fontId="14" fillId="4" borderId="0" xfId="0" applyNumberFormat="1" applyFont="1" applyFill="1" applyBorder="1" applyAlignment="1">
      <x:alignment wrapText="1"/>
    </x:xf>
    <x:xf numFmtId="209" fontId="23" fillId="0" borderId="0" xfId="0" applyNumberFormat="1" applyFont="1" applyFill="1" applyBorder="1"/>
    <x:xf numFmtId="209" fontId="19" fillId="0" borderId="0" xfId="0" applyNumberFormat="1" applyFont="1" applyFill="1" applyBorder="1"/>
    <x:xf numFmtId="209" fontId="19" fillId="4" borderId="0" xfId="0" applyNumberFormat="1" applyFont="1" applyFill="1" applyBorder="1" applyAlignment="1">
      <x:alignment wrapText="1"/>
    </x:xf>
    <x:xf numFmtId="0" fontId="17" fillId="6" borderId="0" xfId="0" applyNumberFormat="1" applyFont="1" applyFill="1" applyBorder="1"/>
    <x:xf numFmtId="0" fontId="16" fillId="6" borderId="0" xfId="0" applyNumberFormat="1" applyFont="1" applyFill="1" applyBorder="1"/>
    <x:xf numFmtId="0" fontId="16" fillId="6" borderId="0" xfId="0" applyNumberFormat="1" applyFont="1" applyFill="1" applyBorder="1" applyAlignment="1">
      <x:alignment wrapText="1"/>
    </x:xf>
    <x:xf numFmtId="0" fontId="16" fillId="6" borderId="0" xfId="0" applyNumberFormat="1" applyFont="1" applyFill="1" applyBorder="1" applyAlignment="1">
      <x:alignment vertical="center" wrapText="1"/>
    </x:xf>
    <x:xf numFmtId="200" fontId="17" fillId="0" borderId="0" xfId="0" applyNumberFormat="1" applyFont="1" applyFill="1" applyBorder="1"/>
    <x:xf numFmtId="206" fontId="17" fillId="0" borderId="0" xfId="0" applyNumberFormat="1" applyFont="1" applyFill="1" applyBorder="1"/>
    <x:xf numFmtId="210" fontId="25" fillId="0" borderId="0" xfId="0" applyNumberFormat="1" applyFont="1" applyFill="1" applyBorder="1" applyAlignment="1">
      <x:alignment wrapText="1"/>
    </x:xf>
    <x:xf numFmtId="210" fontId="23" fillId="0" borderId="0" xfId="0" applyNumberFormat="1" applyFont="1" applyFill="1" applyBorder="1" applyAlignment="1">
      <x:alignment wrapText="1"/>
    </x:xf>
    <x:xf numFmtId="210" fontId="19" fillId="0" borderId="0" xfId="0" applyNumberFormat="1" applyFont="1" applyFill="1" applyBorder="1"/>
    <x:xf numFmtId="210" fontId="17" fillId="0" borderId="0" xfId="0" applyNumberFormat="1" applyFont="1" applyFill="1" applyBorder="1"/>
    <x:xf numFmtId="211" fontId="17" fillId="0" borderId="0" xfId="0" applyNumberFormat="1" applyFont="1" applyFill="1" applyBorder="1"/>
    <x:xf numFmtId="0" fontId="19" fillId="6" borderId="0" xfId="0" applyNumberFormat="1" applyFont="1" applyFill="1" applyBorder="1"/>
    <x:xf numFmtId="0" fontId="17" fillId="0" borderId="0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 applyAlignment="1">
      <x:alignment vertical="center"/>
    </x:xf>
    <x:xf numFmtId="202" fontId="17" fillId="0" borderId="0" xfId="0" applyNumberFormat="1" applyFont="1" applyFill="1" applyBorder="1" applyAlignment="1">
      <x:alignment vertical="center"/>
    </x:xf>
    <x:xf numFmtId="206" fontId="17" fillId="0" borderId="0" xfId="0" applyNumberFormat="1" applyFont="1" applyFill="1" applyBorder="1" applyAlignment="1">
      <x:alignment vertical="center"/>
    </x:xf>
    <x:xf numFmtId="206" fontId="25" fillId="0" borderId="0" xfId="0" applyNumberFormat="1" applyFont="1" applyFill="1" applyBorder="1" applyAlignment="1">
      <x:alignment vertical="center"/>
    </x:xf>
    <x:xf numFmtId="210" fontId="17" fillId="0" borderId="0" xfId="0" applyNumberFormat="1" applyFont="1" applyFill="1" applyBorder="1" applyAlignment="1">
      <x:alignment vertical="center"/>
    </x:xf>
    <x:xf numFmtId="200" fontId="25" fillId="0" borderId="0" xfId="0" applyNumberFormat="1" applyFont="1" applyFill="1" applyBorder="1" applyAlignment="1">
      <x:alignment vertical="center"/>
    </x:xf>
    <x:xf numFmtId="202" fontId="25" fillId="0" borderId="0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7" fillId="2" borderId="0" xfId="0" applyNumberFormat="1" applyFont="1" applyFill="1" applyBorder="1"/>
    <x:xf numFmtId="0" fontId="28" fillId="0" borderId="0" xfId="0" applyNumberFormat="1" applyFont="1" applyFill="1" applyBorder="1"/>
    <x:xf numFmtId="0" fontId="29" fillId="0" borderId="0" xfId="0" applyNumberFormat="1" applyFont="1" applyFill="1" applyBorder="1"/>
    <x:xf numFmtId="210" fontId="23" fillId="0" borderId="0" xfId="0" applyNumberFormat="1" applyFont="1" applyFill="1" applyBorder="1"/>
    <x:xf numFmtId="210" fontId="19" fillId="4" borderId="0" xfId="0" applyNumberFormat="1" applyFont="1" applyFill="1" applyBorder="1" applyAlignment="1">
      <x:alignment wrapText="1"/>
    </x:xf>
    <x:xf numFmtId="0" fontId="30" fillId="2" borderId="0" xfId="0" applyNumberFormat="1" applyFont="1" applyFill="1" applyBorder="1"/>
    <x:xf numFmtId="0" fontId="31" fillId="0" borderId="0" xfId="0" applyNumberFormat="1" applyFont="1" applyFill="1" applyBorder="1"/>
    <x:xf numFmtId="0" fontId="32" fillId="0" borderId="0" xfId="0" applyNumberFormat="1" applyFont="1" applyFill="1" applyBorder="1"/>
    <x:xf numFmtId="0" fontId="31" fillId="4" borderId="0" xfId="0" applyNumberFormat="1" applyFont="1" applyFill="1" applyBorder="1" applyAlignment="1">
      <x:alignment vertical="center" wrapText="1"/>
    </x:xf>
    <x:xf numFmtId="0" fontId="33" fillId="0" borderId="0" xfId="0" applyNumberFormat="1" applyFont="1" applyFill="1" applyBorder="1"/>
    <x:xf numFmtId="0" fontId="33" fillId="4" borderId="0" xfId="0" applyNumberFormat="1" applyFont="1" applyFill="1" applyBorder="1" applyAlignment="1">
      <x:alignment vertical="center" wrapText="1"/>
    </x:xf>
    <x:xf numFmtId="0" fontId="34" fillId="0" borderId="0" xfId="0" applyNumberFormat="1" applyFont="1" applyFill="1" applyBorder="1"/>
    <x:xf numFmtId="0" fontId="33" fillId="4" borderId="0" xfId="0" applyNumberFormat="1" applyFont="1" applyFill="1" applyBorder="1" applyAlignment="1">
      <x:alignment wrapText="1"/>
    </x:xf>
    <x:xf numFmtId="0" fontId="3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B91C1C"/>
      </x:font>
      <x:fill>
        <x:patternFill>
          <x:bgColor rgb="FFFCE0DC"/>
        </x:patternFill>
      </x:fill>
    </x:dxf>
    <x:dxf>
      <x:font>
        <x:color rgb="FFB91C1C"/>
      </x:font>
      <x:fill>
        <x:patternFill>
          <x:bgColor rgb="FFFCE0DC"/>
        </x:patternFill>
      </x:fill>
    </x:dxf>
    <x:dxf>
      <x:font>
        <x:color rgb="FF9A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f9646972443f8" /><Relationship Type="http://schemas.openxmlformats.org/officeDocument/2006/relationships/theme" Target="/xl/theme/theme1.xml" Id="R6e452b7a2f5a4de8" /><Relationship Type="http://schemas.openxmlformats.org/officeDocument/2006/relationships/sharedStrings" Target="/xl/sharedStrings.xml" Id="Re07d6005e7b44fed" /><Relationship Type="http://schemas.openxmlformats.org/officeDocument/2006/relationships/worksheet" Target="/xl/worksheets/sheet1.xml" Id="R7db50e5027af41ca" /><Relationship Type="http://schemas.openxmlformats.org/officeDocument/2006/relationships/worksheet" Target="/xl/worksheets/sheet2.xml" Id="R52cf9f756f374c4f" /><Relationship Type="http://schemas.openxmlformats.org/officeDocument/2006/relationships/worksheet" Target="/xl/worksheets/sheet3.xml" Id="R2e5036f3f22b4037" /><Relationship Type="http://schemas.openxmlformats.org/officeDocument/2006/relationships/worksheet" Target="/xl/worksheets/sheet4.xml" Id="R314c923f669848e5" /><Relationship Type="http://schemas.openxmlformats.org/officeDocument/2006/relationships/worksheet" Target="/xl/worksheets/sheet5.xml" Id="R0711ccd31ec84b2a" /><Relationship Type="http://schemas.openxmlformats.org/officeDocument/2006/relationships/worksheet" Target="/xl/worksheets/sheet6.xml" Id="Rada157c5384b49f2" /><Relationship Type="http://schemas.openxmlformats.org/officeDocument/2006/relationships/worksheet" Target="/xl/worksheets/sheet7.xml" Id="Rb0ab0a6399a8476a" /><Relationship Type="http://schemas.openxmlformats.org/officeDocument/2006/relationships/worksheet" Target="/xl/worksheets/sheet8.xml" Id="R7e79b31e3de44df3" /><Relationship Type="http://schemas.openxmlformats.org/officeDocument/2006/relationships/worksheet" Target="/xl/worksheets/sheet9.xml" Id="Rb2e1843955644686" /><Relationship Type="http://schemas.openxmlformats.org/officeDocument/2006/relationships/worksheet" Target="/xl/worksheets/sheet10.xml" Id="Re8c8a644dc604f95" /><Relationship Type="http://schemas.openxmlformats.org/officeDocument/2006/relationships/worksheet" Target="/xl/worksheets/sheet11.xml" Id="R4fd06692aab8429d" /><Relationship Type="http://schemas.openxmlformats.org/officeDocument/2006/relationships/worksheet" Target="/xl/worksheets/sheet12.xml" Id="R17fc8fcc4f114117" /><Relationship Type="http://schemas.openxmlformats.org/officeDocument/2006/relationships/worksheet" Target="/xl/worksheets/sheet13.xml" Id="Rd2e3a33b81b14de5" /><Relationship Type="http://schemas.openxmlformats.org/officeDocument/2006/relationships/worksheet" Target="/xl/worksheets/sheet14.xml" Id="Rb995f9441cf342f7" /><Relationship Type="http://schemas.openxmlformats.org/officeDocument/2006/relationships/worksheet" Target="/xl/worksheets/sheet15.xml" Id="R510aa7bdd1c142ac" /><Relationship Type="http://schemas.openxmlformats.org/officeDocument/2006/relationships/worksheet" Target="/xl/worksheets/sheet16.xml" Id="R06bd355c4cd042fc" /><Relationship Type="http://schemas.openxmlformats.org/officeDocument/2006/relationships/worksheet" Target="/xl/worksheets/sheet17.xml" Id="R3d8833d73d264edc" /><Relationship Type="http://schemas.openxmlformats.org/officeDocument/2006/relationships/worksheet" Target="/xl/worksheets/sheet18.xml" Id="Ra911ea86114842aa" /><Relationship Type="http://schemas.openxmlformats.org/officeDocument/2006/relationships/worksheet" Target="/xl/worksheets/sheet19.xml" Id="R9c80a1a0907a4043" /><Relationship Type="http://schemas.microsoft.com/office/2017/10/relationships/person" Target="/xl/persons/person.xml" Id="Rff7b0eebdea04550" /></Relationships>
</file>

<file path=xl/persons/person.xml><?xml version="1.0" encoding="utf-8"?>
<xltc:personList xmlns:xltc="http://schemas.microsoft.com/office/spreadsheetml/2018/threadedcomments">
  <xltc:person displayName="Westeros Economic Model" id="{FB322883-AC59-4354-A3C9-6FC54FE2166A}"/>
  <xltc:person displayName="Economic model" id="{25DF97B0-CF0A-4315-97A5-EDD1D2A9B51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5" dT="2026-10-06T14:30:30.422" personId="{FB322883-AC59-4354-A3C9-6FC54FE2166A}" id="{7EC24B47-F3F2-74A5-D125-9EB7BED7C2C6}">
    <xltc:text>M1/M2: new 283 AC scenario setting; not a canon amount. See Sources and the master report; U1–U3 informed framing, not an audited roll-forward.</xltc:text>
  </xltc:threadedComment>
  <xltc:threadedComment ref="D5" dT="2026-10-06T14:30:30.422" personId="{FB322883-AC59-4354-A3C9-6FC54FE2166A}" id="{57D9242E-9B0A-F405-19BE-235992988E16}">
    <xltc:text>M1/M2: new 283 AC scenario setting; not a canon amount. See Sources and the master report; U1–U3 informed framing, not an audited roll-forward.</xltc:text>
  </xltc:threadedComment>
  <xltc:threadedComment ref="E5" dT="2026-10-06T14:30:30.422" personId="{FB322883-AC59-4354-A3C9-6FC54FE2166A}" id="{725C9CF9-816F-FB38-40BA-7C0BE2C957DC}">
    <xltc:text>M1/M2: new 283 AC scenario setting; not a canon amount. See Sources and the master report; U1–U3 informed framing, not an audited roll-forward.</xltc:text>
  </xltc:threadedComment>
  <xltc:threadedComment ref="F5" dT="2026-10-06T14:30:30.422" personId="{FB322883-AC59-4354-A3C9-6FC54FE2166A}" id="{87F9B6DA-A21E-4BA6-CAE0-49D7789A7039}">
    <xltc:text>M1/M2: new 283 AC scenario setting; not a canon amount. See Sources and the master report; U1–U3 informed framing, not an audited roll-forward.</xltc:text>
  </xltc:threadedComment>
  <xltc:threadedComment ref="G5" dT="2026-10-06T14:30:30.422" personId="{FB322883-AC59-4354-A3C9-6FC54FE2166A}" id="{96046299-7951-CA54-FF87-DC44D668BC53}">
    <xltc:text>M1/M2: new 283 AC scenario setting; not a canon amount. See Sources and the master report; U1–U3 informed framing, not an audited roll-forward.</xltc:text>
  </xltc:threadedComment>
  <xltc:threadedComment ref="H5" dT="2026-10-06T14:30:30.422" personId="{FB322883-AC59-4354-A3C9-6FC54FE2166A}" id="{71381906-A82C-BC24-2683-EEDB61BC7D98}">
    <xltc:text>M1/M2: new 283 AC scenario setting; not a canon amount. See Sources and the master report; U1–U3 informed framing, not an audited roll-forward.</xltc:text>
  </xltc:threadedComment>
  <xltc:threadedComment ref="I5" dT="2026-10-06T14:30:30.422" personId="{FB322883-AC59-4354-A3C9-6FC54FE2166A}" id="{0C9DC5AF-F479-7A56-818E-1567C8295DB6}">
    <xltc:text>M1/M2: new 283 AC scenario setting; not a canon amount. See Sources and the master report; U1–U3 informed framing, not an audited roll-forward.</xltc:text>
  </xltc:threadedComment>
  <xltc:threadedComment ref="J5" dT="2026-10-06T14:30:30.422" personId="{FB322883-AC59-4354-A3C9-6FC54FE2166A}" id="{FF7AEA74-46AD-3386-CDD3-ED3DF615E819}">
    <xltc:text>M1/M2: new 283 AC scenario setting; not a canon amount. See Sources and the master report; U1–U3 informed framing, not an audited roll-forward.</xltc:text>
  </xltc:threadedComment>
  <xltc:threadedComment ref="K5" dT="2026-10-06T14:30:30.422" personId="{FB322883-AC59-4354-A3C9-6FC54FE2166A}" id="{FC7B1FA3-126E-5F2F-613C-6345D1DCB43B}">
    <xltc:text>M1/M2: new 283 AC scenario setting; not a canon amount. See Sources and the master report; U1–U3 informed framing, not an audited roll-forward.</xltc:text>
  </xltc:threadedComment>
  <xltc:threadedComment ref="L5" dT="2026-10-06T14:30:30.422" personId="{FB322883-AC59-4354-A3C9-6FC54FE2166A}" id="{E7049549-9F4A-5C9D-0B8C-DE3D9FDB2B75}">
    <xltc:text>M1/M2: new 283 AC scenario setting; not a canon amount. See Sources and the master report; U1–U3 informed framing, not an audited roll-forward.</xltc:text>
  </xltc:threadedComment>
  <xltc:threadedComment ref="M5" dT="2026-10-06T14:30:30.422" personId="{FB322883-AC59-4354-A3C9-6FC54FE2166A}" id="{939FA382-C12F-4AC9-2042-EEE6C360BAC7}">
    <xltc:text>M1/M2: new 283 AC scenario setting; not a canon amount. See Sources and the master report; U1–U3 informed framing, not an audited roll-forward.</xltc:text>
  </xltc:threadedComment>
  <xltc:threadedComment ref="N5" dT="2026-10-06T14:30:30.422" personId="{FB322883-AC59-4354-A3C9-6FC54FE2166A}" id="{C1F4231D-54C4-AE24-909F-41C1CC57353C}">
    <xltc:text>M1/M2: new 283 AC scenario setting; not a canon amount. See Sources and the master report; U1–U3 informed framing, not an audited roll-forward.</xltc:text>
  </xltc:threadedComment>
  <xltc:threadedComment ref="O5" dT="2026-10-06T14:30:30.422" personId="{FB322883-AC59-4354-A3C9-6FC54FE2166A}" id="{76468FAD-17EF-B6B7-17D0-885517DF0C89}">
    <xltc:text>M1/M2: new 283 AC scenario setting; not a canon amount. See Sources and the master report; U1–U3 informed framing, not an audited roll-forward.</xltc:text>
  </xltc:threadedComment>
  <xltc:threadedComment ref="P5" dT="2026-10-06T14:30:30.422" personId="{FB322883-AC59-4354-A3C9-6FC54FE2166A}" id="{917E792B-F6D6-91A5-30E8-8FBA7F7980FD}">
    <xltc:text>M1/M2: new 283 AC scenario setting; not a canon amount. See Sources and the master report; U1–U3 informed framing, not an audited roll-forward.</xltc:text>
  </xltc:threadedComment>
  <xltc:threadedComment ref="Q5" dT="2026-10-06T14:30:30.422" personId="{FB322883-AC59-4354-A3C9-6FC54FE2166A}" id="{136C6478-A806-0158-3E23-684247ABA1F8}">
    <xltc:text>M1/M2: new 283 AC scenario setting; not a canon amount. See Sources and the master report; U1–U3 informed framing, not an audited roll-forward.</xltc:text>
  </xltc:threadedComment>
  <xltc:threadedComment ref="C6" dT="2026-10-06T14:30:30.422" personId="{FB322883-AC59-4354-A3C9-6FC54FE2166A}" id="{FCE4A6FB-70BE-23FB-4613-6391831F013F}">
    <xltc:text>M1/M2: new 283 AC scenario setting; not a canon amount. See Sources and the master report; U1–U3 informed framing, not an audited roll-forward.</xltc:text>
  </xltc:threadedComment>
  <xltc:threadedComment ref="D6" dT="2026-10-06T14:30:30.422" personId="{FB322883-AC59-4354-A3C9-6FC54FE2166A}" id="{2B7CCBD0-8E90-B46D-A9F1-6852420CA35F}">
    <xltc:text>M1/M2: new 283 AC scenario setting; not a canon amount. See Sources and the master report; U1–U3 informed framing, not an audited roll-forward.</xltc:text>
  </xltc:threadedComment>
  <xltc:threadedComment ref="E6" dT="2026-10-06T14:30:30.423" personId="{FB322883-AC59-4354-A3C9-6FC54FE2166A}" id="{3759824E-5DDA-AB4D-036D-A7B7B594AE1C}">
    <xltc:text>M1/M2: new 283 AC scenario setting; not a canon amount. See Sources and the master report; U1–U3 informed framing, not an audited roll-forward.</xltc:text>
  </xltc:threadedComment>
  <xltc:threadedComment ref="F6" dT="2026-10-06T14:30:30.423" personId="{FB322883-AC59-4354-A3C9-6FC54FE2166A}" id="{D280543D-FE07-EEA4-E1E6-BEDDE61FE4D3}">
    <xltc:text>M1/M2: new 283 AC scenario setting; not a canon amount. See Sources and the master report; U1–U3 informed framing, not an audited roll-forward.</xltc:text>
  </xltc:threadedComment>
  <xltc:threadedComment ref="G6" dT="2026-10-06T14:30:30.423" personId="{FB322883-AC59-4354-A3C9-6FC54FE2166A}" id="{C1EFC85A-B015-470C-FFBF-54723E219680}">
    <xltc:text>M1/M2: new 283 AC scenario setting; not a canon amount. See Sources and the master report; U1–U3 informed framing, not an audited roll-forward.</xltc:text>
  </xltc:threadedComment>
  <xltc:threadedComment ref="H6" dT="2026-10-06T14:30:30.423" personId="{FB322883-AC59-4354-A3C9-6FC54FE2166A}" id="{04EDD616-A12F-AA7F-FB26-05F62FEB4EF4}">
    <xltc:text>M1/M2: new 283 AC scenario setting; not a canon amount. See Sources and the master report; U1–U3 informed framing, not an audited roll-forward.</xltc:text>
  </xltc:threadedComment>
  <xltc:threadedComment ref="I6" dT="2026-10-06T14:30:30.423" personId="{FB322883-AC59-4354-A3C9-6FC54FE2166A}" id="{FF2D0B9D-4DD4-D385-4D5D-E3CD6F6B08EB}">
    <xltc:text>M1/M2: new 283 AC scenario setting; not a canon amount. See Sources and the master report; U1–U3 informed framing, not an audited roll-forward.</xltc:text>
  </xltc:threadedComment>
  <xltc:threadedComment ref="J6" dT="2026-10-06T14:30:30.423" personId="{FB322883-AC59-4354-A3C9-6FC54FE2166A}" id="{F8952155-203B-9C88-0F83-DD9AC05688CD}">
    <xltc:text>M1/M2: new 283 AC scenario setting; not a canon amount. See Sources and the master report; U1–U3 informed framing, not an audited roll-forward.</xltc:text>
  </xltc:threadedComment>
  <xltc:threadedComment ref="K6" dT="2026-10-06T14:30:30.423" personId="{FB322883-AC59-4354-A3C9-6FC54FE2166A}" id="{72689B76-0ADB-79D1-10E7-986E22897E7F}">
    <xltc:text>M1/M2: new 283 AC scenario setting; not a canon amount. See Sources and the master report; U1–U3 informed framing, not an audited roll-forward.</xltc:text>
  </xltc:threadedComment>
  <xltc:threadedComment ref="L6" dT="2026-10-06T14:30:30.423" personId="{FB322883-AC59-4354-A3C9-6FC54FE2166A}" id="{416D2D94-CB62-A423-0237-90ED4B03501A}">
    <xltc:text>M1/M2: new 283 AC scenario setting; not a canon amount. See Sources and the master report; U1–U3 informed framing, not an audited roll-forward.</xltc:text>
  </xltc:threadedComment>
  <xltc:threadedComment ref="M6" dT="2026-10-06T14:30:30.423" personId="{FB322883-AC59-4354-A3C9-6FC54FE2166A}" id="{F4E9A66C-44E9-A4F2-21A9-1247467ACB82}">
    <xltc:text>M1/M2: new 283 AC scenario setting; not a canon amount. See Sources and the master report; U1–U3 informed framing, not an audited roll-forward.</xltc:text>
  </xltc:threadedComment>
  <xltc:threadedComment ref="N6" dT="2026-10-06T14:30:30.425" personId="{FB322883-AC59-4354-A3C9-6FC54FE2166A}" id="{AEB6CBC8-1803-3306-CDB5-7FC43222A92C}">
    <xltc:text>M1/M2: new 283 AC scenario setting; not a canon amount. See Sources and the master report; U1–U3 informed framing, not an audited roll-forward.</xltc:text>
  </xltc:threadedComment>
  <xltc:threadedComment ref="O6" dT="2026-10-06T14:30:30.425" personId="{FB322883-AC59-4354-A3C9-6FC54FE2166A}" id="{EE2E43BC-1C94-8CDC-EDE5-E5466D8CE60D}">
    <xltc:text>M1/M2: new 283 AC scenario setting; not a canon amount. See Sources and the master report; U1–U3 informed framing, not an audited roll-forward.</xltc:text>
  </xltc:threadedComment>
  <xltc:threadedComment ref="P6" dT="2026-10-06T14:30:30.426" personId="{FB322883-AC59-4354-A3C9-6FC54FE2166A}" id="{791F800B-A821-6D82-E6F3-D5EBCF1CAEE4}">
    <xltc:text>M1/M2: new 283 AC scenario setting; not a canon amount. See Sources and the master report; U1–U3 informed framing, not an audited roll-forward.</xltc:text>
  </xltc:threadedComment>
  <xltc:threadedComment ref="Q6" dT="2026-10-06T14:30:30.426" personId="{FB322883-AC59-4354-A3C9-6FC54FE2166A}" id="{15C85B0B-097E-C572-D3EC-824DDE430FA4}">
    <xltc:text>M1/M2: new 283 AC scenario setting; not a canon amount. See Sources and the master report; U1–U3 informed framing, not an audited roll-forward.</xltc:text>
  </xltc:threadedComment>
  <xltc:threadedComment ref="C7" dT="2026-10-06T14:30:30.426" personId="{FB322883-AC59-4354-A3C9-6FC54FE2166A}" id="{D8F800B7-22EC-4FBD-141E-63D120AC47CC}">
    <xltc:text>M1/M2: new 283 AC scenario setting; not a canon amount. See Sources and the master report; U1–U3 informed framing, not an audited roll-forward.</xltc:text>
  </xltc:threadedComment>
  <xltc:threadedComment ref="D7" dT="2026-10-06T14:30:30.426" personId="{FB322883-AC59-4354-A3C9-6FC54FE2166A}" id="{FA295D09-599D-929A-B2CD-71C532DB18A2}">
    <xltc:text>M1/M2: new 283 AC scenario setting; not a canon amount. See Sources and the master report; U1–U3 informed framing, not an audited roll-forward.</xltc:text>
  </xltc:threadedComment>
  <xltc:threadedComment ref="E7" dT="2026-10-06T14:30:30.426" personId="{FB322883-AC59-4354-A3C9-6FC54FE2166A}" id="{E1F6244B-1609-3141-8C45-1697381AE6D2}">
    <xltc:text>M1/M2: new 283 AC scenario setting; not a canon amount. See Sources and the master report; U1–U3 informed framing, not an audited roll-forward.</xltc:text>
  </xltc:threadedComment>
  <xltc:threadedComment ref="F7" dT="2026-10-06T14:30:30.426" personId="{FB322883-AC59-4354-A3C9-6FC54FE2166A}" id="{F7C0F527-E16D-A477-5B41-EAA5365D9A7D}">
    <xltc:text>M1/M2: new 283 AC scenario setting; not a canon amount. See Sources and the master report; U1–U3 informed framing, not an audited roll-forward.</xltc:text>
  </xltc:threadedComment>
  <xltc:threadedComment ref="G7" dT="2026-10-06T14:30:30.426" personId="{FB322883-AC59-4354-A3C9-6FC54FE2166A}" id="{38C673D1-4C06-5F17-6017-D9BFC1188529}">
    <xltc:text>M1/M2: new 283 AC scenario setting; not a canon amount. See Sources and the master report; U1–U3 informed framing, not an audited roll-forward.</xltc:text>
  </xltc:threadedComment>
  <xltc:threadedComment ref="H7" dT="2026-10-06T14:30:30.426" personId="{FB322883-AC59-4354-A3C9-6FC54FE2166A}" id="{3A244859-5179-83BF-1315-A303F2891B4D}">
    <xltc:text>M1/M2: new 283 AC scenario setting; not a canon amount. See Sources and the master report; U1–U3 informed framing, not an audited roll-forward.</xltc:text>
  </xltc:threadedComment>
  <xltc:threadedComment ref="I7" dT="2026-10-06T14:30:30.426" personId="{FB322883-AC59-4354-A3C9-6FC54FE2166A}" id="{B60CC592-35D5-E977-8CF4-05A426C74C56}">
    <xltc:text>M1/M2: new 283 AC scenario setting; not a canon amount. See Sources and the master report; U1–U3 informed framing, not an audited roll-forward.</xltc:text>
  </xltc:threadedComment>
  <xltc:threadedComment ref="J7" dT="2026-10-06T14:30:30.426" personId="{FB322883-AC59-4354-A3C9-6FC54FE2166A}" id="{24BD9FD0-90B6-7548-2721-0FEFC508E778}">
    <xltc:text>M1/M2: new 283 AC scenario setting; not a canon amount. See Sources and the master report; U1–U3 informed framing, not an audited roll-forward.</xltc:text>
  </xltc:threadedComment>
  <xltc:threadedComment ref="K7" dT="2026-10-06T14:30:30.426" personId="{FB322883-AC59-4354-A3C9-6FC54FE2166A}" id="{CA9FD065-410E-A716-260A-58DCBDCC9853}">
    <xltc:text>M1/M2: new 283 AC scenario setting; not a canon amount. See Sources and the master report; U1–U3 informed framing, not an audited roll-forward.</xltc:text>
  </xltc:threadedComment>
  <xltc:threadedComment ref="L7" dT="2026-10-06T14:30:30.426" personId="{FB322883-AC59-4354-A3C9-6FC54FE2166A}" id="{0CC8EA37-F058-947F-9559-142E86D5E3B3}">
    <xltc:text>M1/M2: new 283 AC scenario setting; not a canon amount. See Sources and the master report; U1–U3 informed framing, not an audited roll-forward.</xltc:text>
  </xltc:threadedComment>
  <xltc:threadedComment ref="M7" dT="2026-10-06T14:30:30.426" personId="{FB322883-AC59-4354-A3C9-6FC54FE2166A}" id="{180085D6-81E5-5439-2E2E-2F8892B1DB0C}">
    <xltc:text>M1/M2: new 283 AC scenario setting; not a canon amount. See Sources and the master report; U1–U3 informed framing, not an audited roll-forward.</xltc:text>
  </xltc:threadedComment>
  <xltc:threadedComment ref="N7" dT="2026-10-06T14:30:30.426" personId="{FB322883-AC59-4354-A3C9-6FC54FE2166A}" id="{B1C1D16B-F8A4-5D8A-5912-08AF6324E965}">
    <xltc:text>M1/M2: new 283 AC scenario setting; not a canon amount. See Sources and the master report; U1–U3 informed framing, not an audited roll-forward.</xltc:text>
  </xltc:threadedComment>
  <xltc:threadedComment ref="O7" dT="2026-10-06T14:30:30.426" personId="{FB322883-AC59-4354-A3C9-6FC54FE2166A}" id="{4A4D2D1A-A986-0800-E966-00E817D391C3}">
    <xltc:text>M1/M2: new 283 AC scenario setting; not a canon amount. See Sources and the master report; U1–U3 informed framing, not an audited roll-forward.</xltc:text>
  </xltc:threadedComment>
  <xltc:threadedComment ref="P7" dT="2026-10-06T14:30:30.426" personId="{FB322883-AC59-4354-A3C9-6FC54FE2166A}" id="{CC1CCF81-226F-C52D-FA88-63A1690D7300}">
    <xltc:text>M1/M2: new 283 AC scenario setting; not a canon amount. See Sources and the master report; U1–U3 informed framing, not an audited roll-forward.</xltc:text>
  </xltc:threadedComment>
  <xltc:threadedComment ref="Q7" dT="2026-10-06T14:30:30.426" personId="{FB322883-AC59-4354-A3C9-6FC54FE2166A}" id="{775ED914-77A3-B155-0E5B-DA7576E12457}">
    <xltc:text>M1/M2: new 283 AC scenario setting; not a canon amount. See Sources and the master report; U1–U3 informed framing, not an audited roll-forward.</xltc:text>
  </xltc:threadedComment>
  <xltc:threadedComment ref="C8" dT="2026-10-06T14:30:30.427" personId="{FB322883-AC59-4354-A3C9-6FC54FE2166A}" id="{F128BCEC-6FF0-3FE6-5FD9-69A63F6B3139}">
    <xltc:text>M1/M2: new 283 AC scenario setting; not a canon amount. See Sources and the master report; U1–U3 informed framing, not an audited roll-forward.</xltc:text>
  </xltc:threadedComment>
  <xltc:threadedComment ref="D8" dT="2026-10-06T14:30:30.427" personId="{FB322883-AC59-4354-A3C9-6FC54FE2166A}" id="{9D7320F4-05ED-8896-FA55-79AACD02F33E}">
    <xltc:text>M1/M2: new 283 AC scenario setting; not a canon amount. See Sources and the master report; U1–U3 informed framing, not an audited roll-forward.</xltc:text>
  </xltc:threadedComment>
  <xltc:threadedComment ref="E8" dT="2026-10-06T14:30:30.427" personId="{FB322883-AC59-4354-A3C9-6FC54FE2166A}" id="{62091B73-C4F8-212A-B9F3-16522150026D}">
    <xltc:text>M1/M2: new 283 AC scenario setting; not a canon amount. See Sources and the master report; U1–U3 informed framing, not an audited roll-forward.</xltc:text>
  </xltc:threadedComment>
  <xltc:threadedComment ref="F8" dT="2026-10-06T14:30:30.427" personId="{FB322883-AC59-4354-A3C9-6FC54FE2166A}" id="{C1D82210-28E9-7BDC-39F9-CF9CC4E5A2BF}">
    <xltc:text>M1/M2: new 283 AC scenario setting; not a canon amount. See Sources and the master report; U1–U3 informed framing, not an audited roll-forward.</xltc:text>
  </xltc:threadedComment>
  <xltc:threadedComment ref="G8" dT="2026-10-06T14:30:30.427" personId="{FB322883-AC59-4354-A3C9-6FC54FE2166A}" id="{5F3B4995-EA48-A8A3-435C-6B1DB6DCCE37}">
    <xltc:text>M1/M2: new 283 AC scenario setting; not a canon amount. See Sources and the master report; U1–U3 informed framing, not an audited roll-forward.</xltc:text>
  </xltc:threadedComment>
  <xltc:threadedComment ref="H8" dT="2026-10-06T14:30:30.427" personId="{FB322883-AC59-4354-A3C9-6FC54FE2166A}" id="{9D56900C-0095-AE41-DCF4-8FBA3A0ED8B8}">
    <xltc:text>M1/M2: new 283 AC scenario setting; not a canon amount. See Sources and the master report; U1–U3 informed framing, not an audited roll-forward.</xltc:text>
  </xltc:threadedComment>
  <xltc:threadedComment ref="I8" dT="2026-10-06T14:30:30.427" personId="{FB322883-AC59-4354-A3C9-6FC54FE2166A}" id="{0FBD2635-CF16-CFD0-AA99-EA8492EE9A97}">
    <xltc:text>M1/M2: new 283 AC scenario setting; not a canon amount. See Sources and the master report; U1–U3 informed framing, not an audited roll-forward.</xltc:text>
  </xltc:threadedComment>
  <xltc:threadedComment ref="J8" dT="2026-10-06T14:30:30.427" personId="{FB322883-AC59-4354-A3C9-6FC54FE2166A}" id="{5E72A7F5-DD1D-C6C5-DCFE-62E8FFDEBC53}">
    <xltc:text>M1/M2: new 283 AC scenario setting; not a canon amount. See Sources and the master report; U1–U3 informed framing, not an audited roll-forward.</xltc:text>
  </xltc:threadedComment>
  <xltc:threadedComment ref="K8" dT="2026-10-06T14:30:30.427" personId="{FB322883-AC59-4354-A3C9-6FC54FE2166A}" id="{A5556BF2-9284-649E-8419-F9785BF6EF12}">
    <xltc:text>M1/M2: new 283 AC scenario setting; not a canon amount. See Sources and the master report; U1–U3 informed framing, not an audited roll-forward.</xltc:text>
  </xltc:threadedComment>
  <xltc:threadedComment ref="L8" dT="2026-10-06T14:30:30.427" personId="{FB322883-AC59-4354-A3C9-6FC54FE2166A}" id="{2142E303-C0FA-4D9D-0DAE-F606852BDDC2}">
    <xltc:text>M1/M2: new 283 AC scenario setting; not a canon amount. See Sources and the master report; U1–U3 informed framing, not an audited roll-forward.</xltc:text>
  </xltc:threadedComment>
  <xltc:threadedComment ref="M8" dT="2026-10-06T14:30:30.427" personId="{FB322883-AC59-4354-A3C9-6FC54FE2166A}" id="{F5F6877C-8393-487A-B39A-9FCB3B616E58}">
    <xltc:text>M1/M2: new 283 AC scenario setting; not a canon amount. See Sources and the master report; U1–U3 informed framing, not an audited roll-forward.</xltc:text>
  </xltc:threadedComment>
  <xltc:threadedComment ref="N8" dT="2026-10-06T14:30:30.427" personId="{FB322883-AC59-4354-A3C9-6FC54FE2166A}" id="{79BB3A69-EFDA-4EE4-1514-1105D5063B54}">
    <xltc:text>M1/M2: new 283 AC scenario setting; not a canon amount. See Sources and the master report; U1–U3 informed framing, not an audited roll-forward.</xltc:text>
  </xltc:threadedComment>
  <xltc:threadedComment ref="O8" dT="2026-10-06T14:30:30.427" personId="{FB322883-AC59-4354-A3C9-6FC54FE2166A}" id="{5A9F3205-45F7-D8D8-E5A6-A5297F55A15D}">
    <xltc:text>M1/M2: new 283 AC scenario setting; not a canon amount. See Sources and the master report; U1–U3 informed framing, not an audited roll-forward.</xltc:text>
  </xltc:threadedComment>
  <xltc:threadedComment ref="P8" dT="2026-10-06T14:30:30.427" personId="{FB322883-AC59-4354-A3C9-6FC54FE2166A}" id="{15437DB2-F230-D311-7B30-EA130B721365}">
    <xltc:text>M1/M2: new 283 AC scenario setting; not a canon amount. See Sources and the master report; U1–U3 informed framing, not an audited roll-forward.</xltc:text>
  </xltc:threadedComment>
  <xltc:threadedComment ref="Q8" dT="2026-10-06T14:30:30.427" personId="{FB322883-AC59-4354-A3C9-6FC54FE2166A}" id="{F433A2EC-9CAE-64E3-5013-13D0FCBCC5F4}">
    <xltc:text>M1/M2: new 283 AC scenario setting; not a canon amount. See Sources and the master report; U1–U3 informed framing, not an audited roll-forward.</xltc:text>
  </xltc:threadedComment>
  <xltc:threadedComment ref="C9" dT="2026-10-06T14:30:30.427" personId="{FB322883-AC59-4354-A3C9-6FC54FE2166A}" id="{D28A5684-56C4-2063-5A4A-E8479902F4FA}">
    <xltc:text>M1/M2: new 283 AC scenario setting; not a canon amount. See Sources and the master report; U1–U3 informed framing, not an audited roll-forward.</xltc:text>
  </xltc:threadedComment>
  <xltc:threadedComment ref="D9" dT="2026-10-06T14:30:30.429" personId="{FB322883-AC59-4354-A3C9-6FC54FE2166A}" id="{547FB91A-C4E4-A075-D7A7-D5AB4115E16F}">
    <xltc:text>M1/M2: new 283 AC scenario setting; not a canon amount. See Sources and the master report; U1–U3 informed framing, not an audited roll-forward.</xltc:text>
  </xltc:threadedComment>
  <xltc:threadedComment ref="E9" dT="2026-10-06T14:30:30.429" personId="{FB322883-AC59-4354-A3C9-6FC54FE2166A}" id="{B44E5994-0F71-D841-F1C5-61F508E94CC4}">
    <xltc:text>M1/M2: new 283 AC scenario setting; not a canon amount. See Sources and the master report; U1–U3 informed framing, not an audited roll-forward.</xltc:text>
  </xltc:threadedComment>
  <xltc:threadedComment ref="F9" dT="2026-10-06T14:30:30.429" personId="{FB322883-AC59-4354-A3C9-6FC54FE2166A}" id="{A91B5523-9C18-AD84-1740-630150125633}">
    <xltc:text>M1/M2: new 283 AC scenario setting; not a canon amount. See Sources and the master report; U1–U3 informed framing, not an audited roll-forward.</xltc:text>
  </xltc:threadedComment>
  <xltc:threadedComment ref="G9" dT="2026-10-06T14:30:30.429" personId="{FB322883-AC59-4354-A3C9-6FC54FE2166A}" id="{332C6120-CF9E-88C4-5807-365C3AEA3F4A}">
    <xltc:text>M1/M2: new 283 AC scenario setting; not a canon amount. See Sources and the master report; U1–U3 informed framing, not an audited roll-forward.</xltc:text>
  </xltc:threadedComment>
  <xltc:threadedComment ref="H9" dT="2026-10-06T14:30:30.429" personId="{FB322883-AC59-4354-A3C9-6FC54FE2166A}" id="{F70EBB39-9DAE-D37C-80B5-EBE32D088E92}">
    <xltc:text>M1/M2: new 283 AC scenario setting; not a canon amount. See Sources and the master report; U1–U3 informed framing, not an audited roll-forward.</xltc:text>
  </xltc:threadedComment>
  <xltc:threadedComment ref="I9" dT="2026-10-06T14:30:30.429" personId="{FB322883-AC59-4354-A3C9-6FC54FE2166A}" id="{0B511903-60AC-180F-CFBC-E8EC6281F80F}">
    <xltc:text>M1/M2: new 283 AC scenario setting; not a canon amount. See Sources and the master report; U1–U3 informed framing, not an audited roll-forward.</xltc:text>
  </xltc:threadedComment>
  <xltc:threadedComment ref="J9" dT="2026-10-06T14:30:30.429" personId="{FB322883-AC59-4354-A3C9-6FC54FE2166A}" id="{094659A5-73C1-5816-87E2-81748BC8000E}">
    <xltc:text>M1/M2: new 283 AC scenario setting; not a canon amount. See Sources and the master report; U1–U3 informed framing, not an audited roll-forward.</xltc:text>
  </xltc:threadedComment>
  <xltc:threadedComment ref="K9" dT="2026-10-06T14:30:30.429" personId="{FB322883-AC59-4354-A3C9-6FC54FE2166A}" id="{63B5AAEB-721F-2C87-0D05-D5525F5F9F6A}">
    <xltc:text>M1/M2: new 283 AC scenario setting; not a canon amount. See Sources and the master report; U1–U3 informed framing, not an audited roll-forward.</xltc:text>
  </xltc:threadedComment>
  <xltc:threadedComment ref="L9" dT="2026-10-06T14:30:30.429" personId="{FB322883-AC59-4354-A3C9-6FC54FE2166A}" id="{13FD1791-40E3-E03D-2715-2ACB9B083116}">
    <xltc:text>M1/M2: new 283 AC scenario setting; not a canon amount. See Sources and the master report; U1–U3 informed framing, not an audited roll-forward.</xltc:text>
  </xltc:threadedComment>
  <xltc:threadedComment ref="M9" dT="2026-10-06T14:30:30.429" personId="{FB322883-AC59-4354-A3C9-6FC54FE2166A}" id="{2741581C-BC41-41E4-AB7D-2560442E3060}">
    <xltc:text>M1/M2: new 283 AC scenario setting; not a canon amount. See Sources and the master report; U1–U3 informed framing, not an audited roll-forward.</xltc:text>
  </xltc:threadedComment>
  <xltc:threadedComment ref="N9" dT="2026-10-06T14:30:30.429" personId="{FB322883-AC59-4354-A3C9-6FC54FE2166A}" id="{56EA8586-C54B-AFF8-7D47-146AD1C74CCC}">
    <xltc:text>M1/M2: new 283 AC scenario setting; not a canon amount. See Sources and the master report; U1–U3 informed framing, not an audited roll-forward.</xltc:text>
  </xltc:threadedComment>
  <xltc:threadedComment ref="O9" dT="2026-10-06T14:30:30.429" personId="{FB322883-AC59-4354-A3C9-6FC54FE2166A}" id="{6BC4B1C1-1CD5-5522-497E-96B839C88489}">
    <xltc:text>M1/M2: new 283 AC scenario setting; not a canon amount. See Sources and the master report; U1–U3 informed framing, not an audited roll-forward.</xltc:text>
  </xltc:threadedComment>
  <xltc:threadedComment ref="P9" dT="2026-10-06T14:30:30.429" personId="{FB322883-AC59-4354-A3C9-6FC54FE2166A}" id="{AADA627B-76FA-9CC9-8D43-56CF8BD01F26}">
    <xltc:text>M1/M2: new 283 AC scenario setting; not a canon amount. See Sources and the master report; U1–U3 informed framing, not an audited roll-forward.</xltc:text>
  </xltc:threadedComment>
  <xltc:threadedComment ref="Q9" dT="2026-10-06T14:30:30.429" personId="{FB322883-AC59-4354-A3C9-6FC54FE2166A}" id="{14E1F93B-C4CB-AB4E-A451-12D446369260}">
    <xltc:text>M1/M2: new 283 AC scenario setting; not a canon amount. See Sources and the master report; U1–U3 informed framing, not an audited roll-forward.</xltc:text>
  </xltc:threadedComment>
  <xltc:threadedComment ref="C10" dT="2026-10-06T14:30:30.429" personId="{FB322883-AC59-4354-A3C9-6FC54FE2166A}" id="{9221A09E-1DB7-146C-55B3-8C2E26BCE10F}">
    <xltc:text>M1/M2: new 283 AC scenario setting; not a canon amount. See Sources and the master report; U1–U3 informed framing, not an audited roll-forward.</xltc:text>
  </xltc:threadedComment>
  <xltc:threadedComment ref="D10" dT="2026-10-06T14:30:30.429" personId="{FB322883-AC59-4354-A3C9-6FC54FE2166A}" id="{8BA41C6F-F461-7220-6F19-13CA1317BBA4}">
    <xltc:text>M1/M2: new 283 AC scenario setting; not a canon amount. See Sources and the master report; U1–U3 informed framing, not an audited roll-forward.</xltc:text>
  </xltc:threadedComment>
  <xltc:threadedComment ref="E10" dT="2026-10-06T14:30:30.429" personId="{FB322883-AC59-4354-A3C9-6FC54FE2166A}" id="{3B5E734F-1902-63CE-AD27-F49B7D383B92}">
    <xltc:text>M1/M2: new 283 AC scenario setting; not a canon amount. See Sources and the master report; U1–U3 informed framing, not an audited roll-forward.</xltc:text>
  </xltc:threadedComment>
  <xltc:threadedComment ref="F10" dT="2026-10-06T14:30:30.43" personId="{FB322883-AC59-4354-A3C9-6FC54FE2166A}" id="{AB880B99-2E6C-24C3-F43B-763222009853}">
    <xltc:text>M1/M2: new 283 AC scenario setting; not a canon amount. See Sources and the master report; U1–U3 informed framing, not an audited roll-forward.</xltc:text>
  </xltc:threadedComment>
  <xltc:threadedComment ref="G10" dT="2026-10-06T14:30:30.43" personId="{FB322883-AC59-4354-A3C9-6FC54FE2166A}" id="{AA48EAE4-3657-DCED-4C89-1ED5EFD1CFCB}">
    <xltc:text>M1/M2: new 283 AC scenario setting; not a canon amount. See Sources and the master report; U1–U3 informed framing, not an audited roll-forward.</xltc:text>
  </xltc:threadedComment>
  <xltc:threadedComment ref="H10" dT="2026-10-06T14:30:30.43" personId="{FB322883-AC59-4354-A3C9-6FC54FE2166A}" id="{09B4B889-29BE-0976-5159-94B43113BEFA}">
    <xltc:text>M1/M2: new 283 AC scenario setting; not a canon amount. See Sources and the master report; U1–U3 informed framing, not an audited roll-forward.</xltc:text>
  </xltc:threadedComment>
  <xltc:threadedComment ref="I10" dT="2026-10-06T14:30:30.43" personId="{FB322883-AC59-4354-A3C9-6FC54FE2166A}" id="{0837097C-B36F-57D1-37D0-094244AC2AF5}">
    <xltc:text>M1/M2: new 283 AC scenario setting; not a canon amount. See Sources and the master report; U1–U3 informed framing, not an audited roll-forward.</xltc:text>
  </xltc:threadedComment>
  <xltc:threadedComment ref="J10" dT="2026-10-06T14:30:30.43" personId="{FB322883-AC59-4354-A3C9-6FC54FE2166A}" id="{4E517642-E8A8-ED9A-0FD7-1D335780D7DC}">
    <xltc:text>M1/M2: new 283 AC scenario setting; not a canon amount. See Sources and the master report; U1–U3 informed framing, not an audited roll-forward.</xltc:text>
  </xltc:threadedComment>
  <xltc:threadedComment ref="K10" dT="2026-10-06T14:30:30.43" personId="{FB322883-AC59-4354-A3C9-6FC54FE2166A}" id="{28D282D5-2BC2-5F3F-95AE-735D83DB90DA}">
    <xltc:text>M1/M2: new 283 AC scenario setting; not a canon amount. See Sources and the master report; U1–U3 informed framing, not an audited roll-forward.</xltc:text>
  </xltc:threadedComment>
  <xltc:threadedComment ref="L10" dT="2026-10-06T14:30:30.43" personId="{FB322883-AC59-4354-A3C9-6FC54FE2166A}" id="{AA4A58B5-C04D-70BA-6595-7B374F29AEC1}">
    <xltc:text>M1/M2: new 283 AC scenario setting; not a canon amount. See Sources and the master report; U1–U3 informed framing, not an audited roll-forward.</xltc:text>
  </xltc:threadedComment>
  <xltc:threadedComment ref="M10" dT="2026-10-06T14:30:30.43" personId="{FB322883-AC59-4354-A3C9-6FC54FE2166A}" id="{A1144013-1E64-746D-F020-E3A9703AE28D}">
    <xltc:text>M1/M2: new 283 AC scenario setting; not a canon amount. See Sources and the master report; U1–U3 informed framing, not an audited roll-forward.</xltc:text>
  </xltc:threadedComment>
  <xltc:threadedComment ref="N10" dT="2026-10-06T14:30:30.43" personId="{FB322883-AC59-4354-A3C9-6FC54FE2166A}" id="{0C7392F7-F0F8-E33E-CC6D-D40A2A2C926D}">
    <xltc:text>M1/M2: new 283 AC scenario setting; not a canon amount. See Sources and the master report; U1–U3 informed framing, not an audited roll-forward.</xltc:text>
  </xltc:threadedComment>
  <xltc:threadedComment ref="O10" dT="2026-10-06T14:30:30.43" personId="{FB322883-AC59-4354-A3C9-6FC54FE2166A}" id="{B928A935-ACE3-EA82-30B8-9A3E49D008D5}">
    <xltc:text>M1/M2: new 283 AC scenario setting; not a canon amount. See Sources and the master report; U1–U3 informed framing, not an audited roll-forward.</xltc:text>
  </xltc:threadedComment>
  <xltc:threadedComment ref="P10" dT="2026-10-06T14:30:30.43" personId="{FB322883-AC59-4354-A3C9-6FC54FE2166A}" id="{F6FD2BE8-A047-D6C3-C375-FE3921159924}">
    <xltc:text>M1/M2: new 283 AC scenario setting; not a canon amount. See Sources and the master report; U1–U3 informed framing, not an audited roll-forward.</xltc:text>
  </xltc:threadedComment>
  <xltc:threadedComment ref="Q10" dT="2026-10-06T14:30:30.43" personId="{FB322883-AC59-4354-A3C9-6FC54FE2166A}" id="{DBC126A6-A72C-3D79-F6CA-63B8E6A351CC}">
    <xltc:text>M1/M2: new 283 AC scenario setting; not a canon amount. See Sources and the master report; U1–U3 informed framing, not an audited roll-forward.</xltc:text>
  </xltc:threadedComment>
  <xltc:threadedComment ref="C11" dT="2026-10-06T14:30:30.43" personId="{FB322883-AC59-4354-A3C9-6FC54FE2166A}" id="{F409B2D3-E2AB-1461-C712-703BFC9F14DF}">
    <xltc:text>M1/M2: new 283 AC scenario setting; not a canon amount. See Sources and the master report; U1–U3 informed framing, not an audited roll-forward.</xltc:text>
  </xltc:threadedComment>
  <xltc:threadedComment ref="D11" dT="2026-10-06T14:30:30.43" personId="{FB322883-AC59-4354-A3C9-6FC54FE2166A}" id="{C5EA4475-C89F-1B44-F9E2-08CFFA6FE0E8}">
    <xltc:text>M1/M2: new 283 AC scenario setting; not a canon amount. See Sources and the master report; U1–U3 informed framing, not an audited roll-forward.</xltc:text>
  </xltc:threadedComment>
  <xltc:threadedComment ref="E11" dT="2026-10-06T14:30:30.43" personId="{FB322883-AC59-4354-A3C9-6FC54FE2166A}" id="{FF58EA38-F23B-D4B8-7007-C1E8ED4864D7}">
    <xltc:text>M1/M2: new 283 AC scenario setting; not a canon amount. See Sources and the master report; U1–U3 informed framing, not an audited roll-forward.</xltc:text>
  </xltc:threadedComment>
  <xltc:threadedComment ref="F11" dT="2026-10-06T14:30:30.43" personId="{FB322883-AC59-4354-A3C9-6FC54FE2166A}" id="{F3E40394-49A6-5D27-C0CF-BF17D2D55402}">
    <xltc:text>M1/M2: new 283 AC scenario setting; not a canon amount. See Sources and the master report; U1–U3 informed framing, not an audited roll-forward.</xltc:text>
  </xltc:threadedComment>
  <xltc:threadedComment ref="G11" dT="2026-10-06T14:30:30.43" personId="{FB322883-AC59-4354-A3C9-6FC54FE2166A}" id="{7FFA8110-B9BE-2C82-4FD7-6656C9355258}">
    <xltc:text>M1/M2: new 283 AC scenario setting; not a canon amount. See Sources and the master report; U1–U3 informed framing, not an audited roll-forward.</xltc:text>
  </xltc:threadedComment>
  <xltc:threadedComment ref="H11" dT="2026-10-06T14:30:30.43" personId="{FB322883-AC59-4354-A3C9-6FC54FE2166A}" id="{2FABB797-19D9-F5B4-F425-627156BE5B28}">
    <xltc:text>M1/M2: new 283 AC scenario setting; not a canon amount. See Sources and the master report; U1–U3 informed framing, not an audited roll-forward.</xltc:text>
  </xltc:threadedComment>
  <xltc:threadedComment ref="I11" dT="2026-10-06T14:30:30.43" personId="{FB322883-AC59-4354-A3C9-6FC54FE2166A}" id="{02AC9682-BC36-C27B-238B-13A21A673848}">
    <xltc:text>M1/M2: new 283 AC scenario setting; not a canon amount. See Sources and the master report; U1–U3 informed framing, not an audited roll-forward.</xltc:text>
  </xltc:threadedComment>
  <xltc:threadedComment ref="J11" dT="2026-10-06T14:30:30.43" personId="{FB322883-AC59-4354-A3C9-6FC54FE2166A}" id="{80C99371-BD21-666B-E392-17B0CF726A1D}">
    <xltc:text>M1/M2: new 283 AC scenario setting; not a canon amount. See Sources and the master report; U1–U3 informed framing, not an audited roll-forward.</xltc:text>
  </xltc:threadedComment>
  <xltc:threadedComment ref="K11" dT="2026-10-06T14:30:30.43" personId="{FB322883-AC59-4354-A3C9-6FC54FE2166A}" id="{2DCE3F05-7C81-D40B-1AF4-B93C5F67F01B}">
    <xltc:text>M1/M2: new 283 AC scenario setting; not a canon amount. See Sources and the master report; U1–U3 informed framing, not an audited roll-forward.</xltc:text>
  </xltc:threadedComment>
  <xltc:threadedComment ref="L11" dT="2026-10-06T14:30:30.43" personId="{FB322883-AC59-4354-A3C9-6FC54FE2166A}" id="{95B225A0-5D3C-0663-B5A4-8001A1B68F99}">
    <xltc:text>M1/M2: new 283 AC scenario setting; not a canon amount. See Sources and the master report; U1–U3 informed framing, not an audited roll-forward.</xltc:text>
  </xltc:threadedComment>
  <xltc:threadedComment ref="M11" dT="2026-10-06T14:30:30.43" personId="{FB322883-AC59-4354-A3C9-6FC54FE2166A}" id="{97294DB0-8FC4-5B6C-D61D-E203E4323E2B}">
    <xltc:text>M1/M2: new 283 AC scenario setting; not a canon amount. See Sources and the master report; U1–U3 informed framing, not an audited roll-forward.</xltc:text>
  </xltc:threadedComment>
  <xltc:threadedComment ref="N11" dT="2026-10-06T14:30:30.43" personId="{FB322883-AC59-4354-A3C9-6FC54FE2166A}" id="{9ED696DC-BD1E-7FC0-16A0-5AE478B0FB51}">
    <xltc:text>M1/M2: new 283 AC scenario setting; not a canon amount. See Sources and the master report; U1–U3 informed framing, not an audited roll-forward.</xltc:text>
  </xltc:threadedComment>
  <xltc:threadedComment ref="O11" dT="2026-10-06T14:30:30.43" personId="{FB322883-AC59-4354-A3C9-6FC54FE2166A}" id="{B91AB3D3-68EE-E836-2431-45B577247845}">
    <xltc:text>M1/M2: new 283 AC scenario setting; not a canon amount. See Sources and the master report; U1–U3 informed framing, not an audited roll-forward.</xltc:text>
  </xltc:threadedComment>
  <xltc:threadedComment ref="P11" dT="2026-10-06T14:30:30.43" personId="{FB322883-AC59-4354-A3C9-6FC54FE2166A}" id="{656F7C26-1828-80F5-B43F-F6FF84BD1EA5}">
    <xltc:text>M1/M2: new 283 AC scenario setting; not a canon amount. See Sources and the master report; U1–U3 informed framing, not an audited roll-forward.</xltc:text>
  </xltc:threadedComment>
  <xltc:threadedComment ref="Q11" dT="2026-10-06T14:30:30.43" personId="{FB322883-AC59-4354-A3C9-6FC54FE2166A}" id="{D863A028-0AF8-A944-796D-E6ED3A17968F}">
    <xltc:text>M1/M2: new 283 AC scenario setting; not a canon amount. See Sources and the master report; U1–U3 informed framing, not an audited roll-forward.</xltc:text>
  </xltc:threadedComment>
  <xltc:threadedComment ref="C12" dT="2026-10-06T14:30:30.43" personId="{FB322883-AC59-4354-A3C9-6FC54FE2166A}" id="{6EDCC29A-B2BF-2236-284B-ED05399D9658}">
    <xltc:text>M1/M2: new 283 AC scenario setting; not a canon amount. See Sources and the master report; U1–U3 informed framing, not an audited roll-forward.</xltc:text>
  </xltc:threadedComment>
  <xltc:threadedComment ref="D12" dT="2026-10-06T14:30:30.43" personId="{FB322883-AC59-4354-A3C9-6FC54FE2166A}" id="{4B3F7877-3CF1-76AF-BF77-9F15E72E7EBF}">
    <xltc:text>M1/M2: new 283 AC scenario setting; not a canon amount. See Sources and the master report; U1–U3 informed framing, not an audited roll-forward.</xltc:text>
  </xltc:threadedComment>
  <xltc:threadedComment ref="E12" dT="2026-10-06T14:30:30.43" personId="{FB322883-AC59-4354-A3C9-6FC54FE2166A}" id="{D8938741-C57F-7815-6934-F20BBC8BA031}">
    <xltc:text>M1/M2: new 283 AC scenario setting; not a canon amount. See Sources and the master report; U1–U3 informed framing, not an audited roll-forward.</xltc:text>
  </xltc:threadedComment>
  <xltc:threadedComment ref="F12" dT="2026-10-06T14:30:30.43" personId="{FB322883-AC59-4354-A3C9-6FC54FE2166A}" id="{B64529AD-3E3F-0E0D-3B51-2E76C850F0E7}">
    <xltc:text>M1/M2: new 283 AC scenario setting; not a canon amount. See Sources and the master report; U1–U3 informed framing, not an audited roll-forward.</xltc:text>
  </xltc:threadedComment>
  <xltc:threadedComment ref="G12" dT="2026-10-06T14:30:30.43" personId="{FB322883-AC59-4354-A3C9-6FC54FE2166A}" id="{C5286006-E9AD-9A4C-BA09-0B1B1B0A0942}">
    <xltc:text>M1/M2: new 283 AC scenario setting; not a canon amount. See Sources and the master report; U1–U3 informed framing, not an audited roll-forward.</xltc:text>
  </xltc:threadedComment>
  <xltc:threadedComment ref="H12" dT="2026-10-06T14:30:30.43" personId="{FB322883-AC59-4354-A3C9-6FC54FE2166A}" id="{C94ABEE3-4491-55A3-9B4F-3530EA69B715}">
    <xltc:text>M1/M2: new 283 AC scenario setting; not a canon amount. See Sources and the master report; U1–U3 informed framing, not an audited roll-forward.</xltc:text>
  </xltc:threadedComment>
  <xltc:threadedComment ref="I12" dT="2026-10-06T14:30:30.43" personId="{FB322883-AC59-4354-A3C9-6FC54FE2166A}" id="{F84DA621-BC69-2782-F917-21CB3E19D9A1}">
    <xltc:text>M1/M2: new 283 AC scenario setting; not a canon amount. See Sources and the master report; U1–U3 informed framing, not an audited roll-forward.</xltc:text>
  </xltc:threadedComment>
  <xltc:threadedComment ref="J12" dT="2026-10-06T14:30:30.43" personId="{FB322883-AC59-4354-A3C9-6FC54FE2166A}" id="{F8F3665C-60DE-8DD9-EB5E-F3EB2094C154}">
    <xltc:text>M1/M2: new 283 AC scenario setting; not a canon amount. See Sources and the master report; U1–U3 informed framing, not an audited roll-forward.</xltc:text>
  </xltc:threadedComment>
  <xltc:threadedComment ref="K12" dT="2026-10-06T14:30:30.43" personId="{FB322883-AC59-4354-A3C9-6FC54FE2166A}" id="{36873474-7BD3-518C-DAC0-F5B99291F94E}">
    <xltc:text>M1/M2: new 283 AC scenario setting; not a canon amount. See Sources and the master report; U1–U3 informed framing, not an audited roll-forward.</xltc:text>
  </xltc:threadedComment>
  <xltc:threadedComment ref="L12" dT="2026-10-06T14:30:30.43" personId="{FB322883-AC59-4354-A3C9-6FC54FE2166A}" id="{EDC943C1-9ECF-8266-F4BC-D89236196A16}">
    <xltc:text>M1/M2: new 283 AC scenario setting; not a canon amount. See Sources and the master report; U1–U3 informed framing, not an audited roll-forward.</xltc:text>
  </xltc:threadedComment>
  <xltc:threadedComment ref="M12" dT="2026-10-06T14:30:30.43" personId="{FB322883-AC59-4354-A3C9-6FC54FE2166A}" id="{D4FB67AD-04E5-AE32-1904-949E6842F64F}">
    <xltc:text>M1/M2: new 283 AC scenario setting; not a canon amount. See Sources and the master report; U1–U3 informed framing, not an audited roll-forward.</xltc:text>
  </xltc:threadedComment>
  <xltc:threadedComment ref="N12" dT="2026-10-06T14:30:30.43" personId="{FB322883-AC59-4354-A3C9-6FC54FE2166A}" id="{0E617783-DA9F-6479-A180-80BB68D69A14}">
    <xltc:text>M1/M2: new 283 AC scenario setting; not a canon amount. See Sources and the master report; U1–U3 informed framing, not an audited roll-forward.</xltc:text>
  </xltc:threadedComment>
  <xltc:threadedComment ref="O12" dT="2026-10-06T14:30:30.43" personId="{FB322883-AC59-4354-A3C9-6FC54FE2166A}" id="{73F60219-9176-4DE8-BC92-212763DF0DA3}">
    <xltc:text>M1/M2: new 283 AC scenario setting; not a canon amount. See Sources and the master report; U1–U3 informed framing, not an audited roll-forward.</xltc:text>
  </xltc:threadedComment>
  <xltc:threadedComment ref="P12" dT="2026-10-06T14:30:30.43" personId="{FB322883-AC59-4354-A3C9-6FC54FE2166A}" id="{59B6BE59-EC56-2E9C-BB01-1F3160377E71}">
    <xltc:text>M1/M2: new 283 AC scenario setting; not a canon amount. See Sources and the master report; U1–U3 informed framing, not an audited roll-forward.</xltc:text>
  </xltc:threadedComment>
  <xltc:threadedComment ref="Q12" dT="2026-10-06T14:30:30.43" personId="{FB322883-AC59-4354-A3C9-6FC54FE2166A}" id="{301351D2-1E99-D975-0EBE-CF216732845B}">
    <xltc:text>M1/M2: new 283 AC scenario setting; not a canon amount. See Sources and the master report; U1–U3 informed framing, not an audited roll-forward.</xltc:text>
  </xltc:threadedComment>
  <xltc:threadedComment ref="C13" dT="2026-10-06T14:30:30.43" personId="{FB322883-AC59-4354-A3C9-6FC54FE2166A}" id="{A8CD47EB-9E0D-DF12-A8F5-C0EBE95E8803}">
    <xltc:text>M1/M2: new 283 AC scenario setting; not a canon amount. See Sources and the master report; U1–U3 informed framing, not an audited roll-forward.</xltc:text>
  </xltc:threadedComment>
  <xltc:threadedComment ref="D13" dT="2026-10-06T14:30:30.43" personId="{FB322883-AC59-4354-A3C9-6FC54FE2166A}" id="{07661D67-68E3-9A67-7310-DC65C73BEBC9}">
    <xltc:text>M1/M2: new 283 AC scenario setting; not a canon amount. See Sources and the master report; U1–U3 informed framing, not an audited roll-forward.</xltc:text>
  </xltc:threadedComment>
  <xltc:threadedComment ref="E13" dT="2026-10-06T14:30:30.43" personId="{FB322883-AC59-4354-A3C9-6FC54FE2166A}" id="{41E78626-5617-B767-8877-7B428577A91B}">
    <xltc:text>M1/M2: new 283 AC scenario setting; not a canon amount. See Sources and the master report; U1–U3 informed framing, not an audited roll-forward.</xltc:text>
  </xltc:threadedComment>
  <xltc:threadedComment ref="F13" dT="2026-10-06T14:30:30.43" personId="{FB322883-AC59-4354-A3C9-6FC54FE2166A}" id="{F01F2040-9C2C-35EC-9E67-61752A84143B}">
    <xltc:text>M1/M2: new 283 AC scenario setting; not a canon amount. See Sources and the master report; U1–U3 informed framing, not an audited roll-forward.</xltc:text>
  </xltc:threadedComment>
  <xltc:threadedComment ref="G13" dT="2026-10-06T14:30:30.43" personId="{FB322883-AC59-4354-A3C9-6FC54FE2166A}" id="{1379B7EC-A674-067B-F03D-D6188A9EA1EE}">
    <xltc:text>M1/M2: new 283 AC scenario setting; not a canon amount. See Sources and the master report; U1–U3 informed framing, not an audited roll-forward.</xltc:text>
  </xltc:threadedComment>
  <xltc:threadedComment ref="H13" dT="2026-10-06T14:30:30.43" personId="{FB322883-AC59-4354-A3C9-6FC54FE2166A}" id="{AF48BC99-6524-296C-69FE-6A0AAF7773B7}">
    <xltc:text>M1/M2: new 283 AC scenario setting; not a canon amount. See Sources and the master report; U1–U3 informed framing, not an audited roll-forward.</xltc:text>
  </xltc:threadedComment>
  <xltc:threadedComment ref="I13" dT="2026-10-06T14:30:30.43" personId="{FB322883-AC59-4354-A3C9-6FC54FE2166A}" id="{24E2DAB9-DC43-CCFF-79CC-A50315D47B7F}">
    <xltc:text>M1/M2: new 283 AC scenario setting; not a canon amount. See Sources and the master report; U1–U3 informed framing, not an audited roll-forward.</xltc:text>
  </xltc:threadedComment>
  <xltc:threadedComment ref="J13" dT="2026-10-06T14:30:30.43" personId="{FB322883-AC59-4354-A3C9-6FC54FE2166A}" id="{CD5E49B4-D45B-7F1A-0868-E727F8559D6B}">
    <xltc:text>M1/M2: new 283 AC scenario setting; not a canon amount. See Sources and the master report; U1–U3 informed framing, not an audited roll-forward.</xltc:text>
  </xltc:threadedComment>
  <xltc:threadedComment ref="K13" dT="2026-10-06T14:30:30.43" personId="{FB322883-AC59-4354-A3C9-6FC54FE2166A}" id="{1B3A103E-A727-9746-A93A-4D0BFF176CDA}">
    <xltc:text>M1/M2: new 283 AC scenario setting; not a canon amount. See Sources and the master report; U1–U3 informed framing, not an audited roll-forward.</xltc:text>
  </xltc:threadedComment>
  <xltc:threadedComment ref="L13" dT="2026-10-06T14:30:30.43" personId="{FB322883-AC59-4354-A3C9-6FC54FE2166A}" id="{0BB47C7E-DDDF-A176-87AE-EBE92FA9F058}">
    <xltc:text>M1/M2: new 283 AC scenario setting; not a canon amount. See Sources and the master report; U1–U3 informed framing, not an audited roll-forward.</xltc:text>
  </xltc:threadedComment>
  <xltc:threadedComment ref="M13" dT="2026-10-06T14:30:30.43" personId="{FB322883-AC59-4354-A3C9-6FC54FE2166A}" id="{B1F7CA61-DEE4-3864-9FF7-17A08A4E8C30}">
    <xltc:text>M1/M2: new 283 AC scenario setting; not a canon amount. See Sources and the master report; U1–U3 informed framing, not an audited roll-forward.</xltc:text>
  </xltc:threadedComment>
  <xltc:threadedComment ref="N13" dT="2026-10-06T14:30:30.43" personId="{FB322883-AC59-4354-A3C9-6FC54FE2166A}" id="{94472A01-40EC-6EDB-CD4A-909F45AD8164}">
    <xltc:text>M1/M2: new 283 AC scenario setting; not a canon amount. See Sources and the master report; U1–U3 informed framing, not an audited roll-forward.</xltc:text>
  </xltc:threadedComment>
  <xltc:threadedComment ref="O13" dT="2026-10-06T14:30:30.43" personId="{FB322883-AC59-4354-A3C9-6FC54FE2166A}" id="{67943F33-C5DC-1BC5-9B42-D0005B156072}">
    <xltc:text>M1/M2: new 283 AC scenario setting; not a canon amount. See Sources and the master report; U1–U3 informed framing, not an audited roll-forward.</xltc:text>
  </xltc:threadedComment>
  <xltc:threadedComment ref="P13" dT="2026-10-06T14:30:30.43" personId="{FB322883-AC59-4354-A3C9-6FC54FE2166A}" id="{337CCA11-C502-4B71-847F-8D5B83A9ADCA}">
    <xltc:text>M1/M2: new 283 AC scenario setting; not a canon amount. See Sources and the master report; U1–U3 informed framing, not an audited roll-forward.</xltc:text>
  </xltc:threadedComment>
  <xltc:threadedComment ref="Q13" dT="2026-10-06T14:30:30.43" personId="{FB322883-AC59-4354-A3C9-6FC54FE2166A}" id="{A4B543DA-5524-F839-5BF3-6EFAA356947E}">
    <xltc:text>M1/M2: new 283 AC scenario setting; not a canon amount. See Sources and the master report; U1–U3 informed framing, not an audited roll-forward.</xltc:text>
  </xltc:threadedComment>
  <xltc:threadedComment ref="S5" dT="2026-10-06T15:59:23.995" personId="{25DF97B0-CF0A-4315-97A5-EDD1D2A9B51B}" id="{62912EFD-A65D-5612-274C-B0C8CF282464}">
    <xltc:text>Version 2. User-approved annual income choice. https://racefortheironthrone.tumblr.com/post/149005655796/are-the-manderlys-richer-than-the-starks-what-are Tully potential is not added to receipts; F1/F2 are fan estimates, not canon.</xltc:text>
  </xltc:threadedComment>
  <xltc:threadedComment ref="U5" dT="2026-10-06T15:59:23.995" personId="{25DF97B0-CF0A-4315-97A5-EDD1D2A9B51B}" id="{0FFCDCEA-9D4E-9EE7-B209-D95FE68831ED}">
    <xltc:text>Version 2. User-approved annual income choice. https://racefortheironthrone.tumblr.com/post/149005655796/are-the-manderlys-richer-than-the-starks-what-are Tully potential is not added to receipts; F1/F2 are fan estimates, not canon.</xltc:text>
  </xltc:threadedComment>
  <xltc:threadedComment ref="D5" dT="2026-10-06T15:59:23.995" personId="{25DF97B0-CF0A-4315-97A5-EDD1D2A9B51B}" id="{39471DC2-DEE2-CEB9-048C-632A0B56D0EF}">
    <xltc:text>M3: explicit new simulation assumption for version 2. Not supplied by the linked fan estimates. See Revision and Sources.</xltc:text>
  </xltc:threadedComment>
  <xltc:threadedComment ref="E5" dT="2026-10-06T15:59:23.995" personId="{25DF97B0-CF0A-4315-97A5-EDD1D2A9B51B}" id="{6C47600B-144D-7C47-C765-F6F0412CDD2B}">
    <xltc:text>M3: explicit new simulation assumption for version 2. Not supplied by the linked fan estimates. See Revision and Sources.</xltc:text>
  </xltc:threadedComment>
  <xltc:threadedComment ref="F5" dT="2026-10-06T15:59:23.995" personId="{25DF97B0-CF0A-4315-97A5-EDD1D2A9B51B}" id="{EAFA5C19-00A3-6805-D1F1-BB578245A22E}">
    <xltc:text>M3: explicit new simulation assumption for version 2. Not supplied by the linked fan estimates. See Revision and Sources.</xltc:text>
  </xltc:threadedComment>
  <xltc:threadedComment ref="G5" dT="2026-10-06T15:59:23.995" personId="{25DF97B0-CF0A-4315-97A5-EDD1D2A9B51B}" id="{790C83DA-79C9-A1BD-292B-EDCC048E4BE0}">
    <xltc:text>M3: explicit new simulation assumption for version 2. Not supplied by the linked fan estimates. See Revision and Sources.</xltc:text>
  </xltc:threadedComment>
  <xltc:threadedComment ref="H5" dT="2026-10-06T15:59:23.995" personId="{25DF97B0-CF0A-4315-97A5-EDD1D2A9B51B}" id="{7E3B8B62-823C-90A3-BDA5-66BB4D78582F}">
    <xltc:text>M3: explicit new simulation assumption for version 2. Not supplied by the linked fan estimates. See Revision and Sources.</xltc:text>
  </xltc:threadedComment>
  <xltc:threadedComment ref="I5" dT="2026-10-06T15:59:23.995" personId="{25DF97B0-CF0A-4315-97A5-EDD1D2A9B51B}" id="{A27C0AC4-CCE1-51CA-9337-2E2684B0AC89}">
    <xltc:text>M3: explicit new simulation assumption for version 2. Not supplied by the linked fan estimates. See Revision and Sources.</xltc:text>
  </xltc:threadedComment>
  <xltc:threadedComment ref="J5" dT="2026-10-06T15:59:23.995" personId="{25DF97B0-CF0A-4315-97A5-EDD1D2A9B51B}" id="{FB70825A-9884-040C-AED3-03A4A626A2BD}">
    <xltc:text>M3: explicit new simulation assumption for version 2. Not supplied by the linked fan estimates. See Revision and Sources.</xltc:text>
  </xltc:threadedComment>
  <xltc:threadedComment ref="T5" dT="2026-10-06T15:59:23.995" personId="{25DF97B0-CF0A-4315-97A5-EDD1D2A9B51B}" id="{C74CD198-EE39-4052-0EB6-31A6C14D9544}">
    <xltc:text>M3: explicit new simulation assumption for version 2. Not supplied by the linked fan estimates. See Revision and Sources.</xltc:text>
  </xltc:threadedComment>
  <xltc:threadedComment ref="S6" dT="2026-10-06T15:59:23.995" personId="{25DF97B0-CF0A-4315-97A5-EDD1D2A9B51B}" id="{70BC4EB3-8D83-B070-DE8E-EE6B8D9C76ED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U6" dT="2026-10-06T15:59:23.995" personId="{25DF97B0-CF0A-4315-97A5-EDD1D2A9B51B}" id="{F664F1F0-083B-8F85-092E-2C416EB07E22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D6" dT="2026-10-06T15:59:23.995" personId="{25DF97B0-CF0A-4315-97A5-EDD1D2A9B51B}" id="{747FB727-774A-4A92-D089-637E75258228}">
    <xltc:text>M3: explicit new simulation assumption for version 2. Not supplied by the linked fan estimates. See Revision and Sources.</xltc:text>
  </xltc:threadedComment>
  <xltc:threadedComment ref="E6" dT="2026-10-06T15:59:23.995" personId="{25DF97B0-CF0A-4315-97A5-EDD1D2A9B51B}" id="{95293FBF-F6AE-9287-ABC4-FC81E44BF87E}">
    <xltc:text>M3: explicit new simulation assumption for version 2. Not supplied by the linked fan estimates. See Revision and Sources.</xltc:text>
  </xltc:threadedComment>
  <xltc:threadedComment ref="F6" dT="2026-10-06T15:59:23.995" personId="{25DF97B0-CF0A-4315-97A5-EDD1D2A9B51B}" id="{773063A5-E3FA-83B2-BA86-03D94290E08D}">
    <xltc:text>M3: explicit new simulation assumption for version 2. Not supplied by the linked fan estimates. See Revision and Sources.</xltc:text>
  </xltc:threadedComment>
  <xltc:threadedComment ref="G6" dT="2026-10-06T15:59:23.995" personId="{25DF97B0-CF0A-4315-97A5-EDD1D2A9B51B}" id="{1CD3439B-F969-6F6E-7005-2C005B825414}">
    <xltc:text>M3: explicit new simulation assumption for version 2. Not supplied by the linked fan estimates. See Revision and Sources.</xltc:text>
  </xltc:threadedComment>
  <xltc:threadedComment ref="H6" dT="2026-10-06T15:59:23.995" personId="{25DF97B0-CF0A-4315-97A5-EDD1D2A9B51B}" id="{7E852AE7-5E15-D116-DAF9-12BA3262C6BF}">
    <xltc:text>M3: explicit new simulation assumption for version 2. Not supplied by the linked fan estimates. See Revision and Sources.</xltc:text>
  </xltc:threadedComment>
  <xltc:threadedComment ref="I6" dT="2026-10-06T15:59:23.996" personId="{25DF97B0-CF0A-4315-97A5-EDD1D2A9B51B}" id="{2D8DF753-9725-0F90-677E-1D11E3F0527A}">
    <xltc:text>M3: explicit new simulation assumption for version 2. Not supplied by the linked fan estimates. See Revision and Sources.</xltc:text>
  </xltc:threadedComment>
  <xltc:threadedComment ref="J6" dT="2026-10-06T15:59:23.996" personId="{25DF97B0-CF0A-4315-97A5-EDD1D2A9B51B}" id="{21B0D797-B2DE-8268-6CA6-714B5747D3A1}">
    <xltc:text>M3: explicit new simulation assumption for version 2. Not supplied by the linked fan estimates. See Revision and Sources.</xltc:text>
  </xltc:threadedComment>
  <xltc:threadedComment ref="T6" dT="2026-10-06T15:59:23.996" personId="{25DF97B0-CF0A-4315-97A5-EDD1D2A9B51B}" id="{151BBCC8-4124-988A-D2D4-B1C2532311DC}">
    <xltc:text>M3: explicit new simulation assumption for version 2. Not supplied by the linked fan estimates. See Revision and Sources.</xltc:text>
  </xltc:threadedComment>
  <xltc:threadedComment ref="S7" dT="2026-10-06T15:59:23.996" personId="{25DF97B0-CF0A-4315-97A5-EDD1D2A9B51B}" id="{F17E76F3-3305-5634-65EF-D6670839F240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U7" dT="2026-10-06T15:59:23.996" personId="{25DF97B0-CF0A-4315-97A5-EDD1D2A9B51B}" id="{BA847175-4521-7244-27D3-DFB74C496D31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D7" dT="2026-10-06T15:59:23.996" personId="{25DF97B0-CF0A-4315-97A5-EDD1D2A9B51B}" id="{9E698D0E-1F66-C780-D783-B92F696E9DED}">
    <xltc:text>M3: explicit new simulation assumption for version 2. Not supplied by the linked fan estimates. See Revision and Sources.</xltc:text>
  </xltc:threadedComment>
  <xltc:threadedComment ref="E7" dT="2026-10-06T15:59:23.996" personId="{25DF97B0-CF0A-4315-97A5-EDD1D2A9B51B}" id="{8B2511EC-F9A3-8680-7C46-F6E5855F4FB6}">
    <xltc:text>M3: explicit new simulation assumption for version 2. Not supplied by the linked fan estimates. See Revision and Sources.</xltc:text>
  </xltc:threadedComment>
  <xltc:threadedComment ref="F7" dT="2026-10-06T15:59:23.996" personId="{25DF97B0-CF0A-4315-97A5-EDD1D2A9B51B}" id="{AB49FA75-6C9E-C1F9-977D-B5AC0F998FFA}">
    <xltc:text>M3: explicit new simulation assumption for version 2. Not supplied by the linked fan estimates. See Revision and Sources.</xltc:text>
  </xltc:threadedComment>
  <xltc:threadedComment ref="G7" dT="2026-10-06T15:59:23.996" personId="{25DF97B0-CF0A-4315-97A5-EDD1D2A9B51B}" id="{8141E5E6-21C1-B006-8B8D-C4FACA67A568}">
    <xltc:text>M3: explicit new simulation assumption for version 2. Not supplied by the linked fan estimates. See Revision and Sources.</xltc:text>
  </xltc:threadedComment>
  <xltc:threadedComment ref="H7" dT="2026-10-06T15:59:23.996" personId="{25DF97B0-CF0A-4315-97A5-EDD1D2A9B51B}" id="{E34F5628-8A7F-AACB-88AC-BD51CF6DC181}">
    <xltc:text>M3: explicit new simulation assumption for version 2. Not supplied by the linked fan estimates. See Revision and Sources.</xltc:text>
  </xltc:threadedComment>
  <xltc:threadedComment ref="I7" dT="2026-10-06T15:59:23.996" personId="{25DF97B0-CF0A-4315-97A5-EDD1D2A9B51B}" id="{5CF2623B-F347-382A-823E-C5E4B9E23BD2}">
    <xltc:text>M3: explicit new simulation assumption for version 2. Not supplied by the linked fan estimates. See Revision and Sources.</xltc:text>
  </xltc:threadedComment>
  <xltc:threadedComment ref="J7" dT="2026-10-06T15:59:23.996" personId="{25DF97B0-CF0A-4315-97A5-EDD1D2A9B51B}" id="{450D3EC3-2825-F139-651C-379EFFD4456E}">
    <xltc:text>M3: explicit new simulation assumption for version 2. Not supplied by the linked fan estimates. See Revision and Sources.</xltc:text>
  </xltc:threadedComment>
  <xltc:threadedComment ref="T7" dT="2026-10-06T15:59:23.996" personId="{25DF97B0-CF0A-4315-97A5-EDD1D2A9B51B}" id="{32F99431-8612-7BDF-0E46-46082A18D6FB}">
    <xltc:text>M3: explicit new simulation assumption for version 2. Not supplied by the linked fan estimates. See Revision and Sources.</xltc:text>
  </xltc:threadedComment>
  <xltc:threadedComment ref="S8" dT="2026-10-06T15:59:23.996" personId="{25DF97B0-CF0A-4315-97A5-EDD1D2A9B51B}" id="{3F4EFA17-9AE6-CC46-D091-B410245C9999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U8" dT="2026-10-06T15:59:23.996" personId="{25DF97B0-CF0A-4315-97A5-EDD1D2A9B51B}" id="{296BB059-511F-1450-0309-A1778C1148A4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D8" dT="2026-10-06T15:59:23.996" personId="{25DF97B0-CF0A-4315-97A5-EDD1D2A9B51B}" id="{216A77EF-40EC-FFB9-7663-302F611C2916}">
    <xltc:text>M3: explicit new simulation assumption for version 2. Not supplied by the linked fan estimates. See Revision and Sources.</xltc:text>
  </xltc:threadedComment>
  <xltc:threadedComment ref="E8" dT="2026-10-06T15:59:23.996" personId="{25DF97B0-CF0A-4315-97A5-EDD1D2A9B51B}" id="{1BB3054A-8384-1035-25D3-A215B1DD9139}">
    <xltc:text>M3: explicit new simulation assumption for version 2. Not supplied by the linked fan estimates. See Revision and Sources.</xltc:text>
  </xltc:threadedComment>
  <xltc:threadedComment ref="F8" dT="2026-10-06T15:59:23.996" personId="{25DF97B0-CF0A-4315-97A5-EDD1D2A9B51B}" id="{3C98BAFE-65BF-21A5-B214-5D66734E4E86}">
    <xltc:text>M3: explicit new simulation assumption for version 2. Not supplied by the linked fan estimates. See Revision and Sources.</xltc:text>
  </xltc:threadedComment>
  <xltc:threadedComment ref="G8" dT="2026-10-06T15:59:23.996" personId="{25DF97B0-CF0A-4315-97A5-EDD1D2A9B51B}" id="{69449414-9D09-4DAE-E669-F31CF3D470D0}">
    <xltc:text>M3: explicit new simulation assumption for version 2. Not supplied by the linked fan estimates. See Revision and Sources.</xltc:text>
  </xltc:threadedComment>
  <xltc:threadedComment ref="H8" dT="2026-10-06T15:59:23.996" personId="{25DF97B0-CF0A-4315-97A5-EDD1D2A9B51B}" id="{7F3B0B50-0213-FDF7-003C-BB7B5F2DDA34}">
    <xltc:text>M3: explicit new simulation assumption for version 2. Not supplied by the linked fan estimates. See Revision and Sources.</xltc:text>
  </xltc:threadedComment>
  <xltc:threadedComment ref="I8" dT="2026-10-06T15:59:23.996" personId="{25DF97B0-CF0A-4315-97A5-EDD1D2A9B51B}" id="{5CB24519-ACD5-658A-0C71-6D916666DE71}">
    <xltc:text>M3: explicit new simulation assumption for version 2. Not supplied by the linked fan estimates. See Revision and Sources.</xltc:text>
  </xltc:threadedComment>
  <xltc:threadedComment ref="J8" dT="2026-10-06T15:59:23.996" personId="{25DF97B0-CF0A-4315-97A5-EDD1D2A9B51B}" id="{C53CB889-EBCD-6E76-8C0A-D599EA551E4F}">
    <xltc:text>M3: explicit new simulation assumption for version 2. Not supplied by the linked fan estimates. See Revision and Sources.</xltc:text>
  </xltc:threadedComment>
  <xltc:threadedComment ref="T8" dT="2026-10-06T15:59:23.996" personId="{25DF97B0-CF0A-4315-97A5-EDD1D2A9B51B}" id="{0AB9FCA9-13CC-AD0F-C0C0-2B3E5CBE322D}">
    <xltc:text>M3: explicit new simulation assumption for version 2. Not supplied by the linked fan estimates. See Revision and Sources.</xltc:text>
  </xltc:threadedComment>
  <xltc:threadedComment ref="S9" dT="2026-10-06T15:59:23.997" personId="{25DF97B0-CF0A-4315-97A5-EDD1D2A9B51B}" id="{3EB99015-41DA-E0B7-D3FE-383D17D7EAD4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U9" dT="2026-10-06T15:59:23.997" personId="{25DF97B0-CF0A-4315-97A5-EDD1D2A9B51B}" id="{2B78B148-2B56-3BC4-E0CB-F0DDF5373FB2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D9" dT="2026-10-06T15:59:23.997" personId="{25DF97B0-CF0A-4315-97A5-EDD1D2A9B51B}" id="{45F368D1-B2FA-FEBD-F96F-00AECE103F59}">
    <xltc:text>M3: explicit new simulation assumption for version 2. Not supplied by the linked fan estimates. See Revision and Sources.</xltc:text>
  </xltc:threadedComment>
  <xltc:threadedComment ref="E9" dT="2026-10-06T15:59:23.997" personId="{25DF97B0-CF0A-4315-97A5-EDD1D2A9B51B}" id="{419E584B-0E4B-8D89-B11F-4B7B106CC358}">
    <xltc:text>M3: explicit new simulation assumption for version 2. Not supplied by the linked fan estimates. See Revision and Sources.</xltc:text>
  </xltc:threadedComment>
  <xltc:threadedComment ref="F9" dT="2026-10-06T15:59:23.997" personId="{25DF97B0-CF0A-4315-97A5-EDD1D2A9B51B}" id="{0AB4D382-6E8A-A085-553E-5D637667B0F0}">
    <xltc:text>M3: explicit new simulation assumption for version 2. Not supplied by the linked fan estimates. See Revision and Sources.</xltc:text>
  </xltc:threadedComment>
  <xltc:threadedComment ref="G9" dT="2026-10-06T15:59:23.997" personId="{25DF97B0-CF0A-4315-97A5-EDD1D2A9B51B}" id="{7ECCF6A8-6F33-AFAF-F8B8-38AD22E7E61D}">
    <xltc:text>M3: explicit new simulation assumption for version 2. Not supplied by the linked fan estimates. See Revision and Sources.</xltc:text>
  </xltc:threadedComment>
  <xltc:threadedComment ref="H9" dT="2026-10-06T15:59:23.997" personId="{25DF97B0-CF0A-4315-97A5-EDD1D2A9B51B}" id="{DAC80091-A454-B9CD-29B9-EABF4A52E945}">
    <xltc:text>M3: explicit new simulation assumption for version 2. Not supplied by the linked fan estimates. See Revision and Sources.</xltc:text>
  </xltc:threadedComment>
  <xltc:threadedComment ref="I9" dT="2026-10-06T15:59:23.997" personId="{25DF97B0-CF0A-4315-97A5-EDD1D2A9B51B}" id="{03F89289-4861-C517-19C4-4EDC216D6765}">
    <xltc:text>M3: explicit new simulation assumption for version 2. Not supplied by the linked fan estimates. See Revision and Sources.</xltc:text>
  </xltc:threadedComment>
  <xltc:threadedComment ref="J9" dT="2026-10-06T15:59:23.997" personId="{25DF97B0-CF0A-4315-97A5-EDD1D2A9B51B}" id="{36FECA54-D129-1ADA-410F-F905BDC716D5}">
    <xltc:text>M3: explicit new simulation assumption for version 2. Not supplied by the linked fan estimates. See Revision and Sources.</xltc:text>
  </xltc:threadedComment>
  <xltc:threadedComment ref="T9" dT="2026-10-06T15:59:23.997" personId="{25DF97B0-CF0A-4315-97A5-EDD1D2A9B51B}" id="{36B56B2F-AA32-F307-8678-81BFCC77F5E2}">
    <xltc:text>M3: explicit new simulation assumption for version 2. Not supplied by the linked fan estimates. See Revision and Sources.</xltc:text>
  </xltc:threadedComment>
  <xltc:threadedComment ref="S10" dT="2026-10-06T15:59:23.997" personId="{25DF97B0-CF0A-4315-97A5-EDD1D2A9B51B}" id="{1B51B96D-2256-9B59-FB8F-CCD57C66985B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U10" dT="2026-10-06T15:59:23.997" personId="{25DF97B0-CF0A-4315-97A5-EDD1D2A9B51B}" id="{FA917583-CFD0-D335-03F2-2DE649D37C7B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D10" dT="2026-10-06T15:59:23.997" personId="{25DF97B0-CF0A-4315-97A5-EDD1D2A9B51B}" id="{43EEB606-2515-C148-C713-6F471006E840}">
    <xltc:text>M3: explicit new simulation assumption for version 2. Not supplied by the linked fan estimates. See Revision and Sources.</xltc:text>
  </xltc:threadedComment>
  <xltc:threadedComment ref="E10" dT="2026-10-06T15:59:23.997" personId="{25DF97B0-CF0A-4315-97A5-EDD1D2A9B51B}" id="{5D033789-D0D4-8C8A-E4FF-FE381F0A874A}">
    <xltc:text>M3: explicit new simulation assumption for version 2. Not supplied by the linked fan estimates. See Revision and Sources.</xltc:text>
  </xltc:threadedComment>
  <xltc:threadedComment ref="F10" dT="2026-10-06T15:59:23.997" personId="{25DF97B0-CF0A-4315-97A5-EDD1D2A9B51B}" id="{936C2364-7DC3-DA76-5339-E5E5829B2CAB}">
    <xltc:text>M3: explicit new simulation assumption for version 2. Not supplied by the linked fan estimates. See Revision and Sources.</xltc:text>
  </xltc:threadedComment>
  <xltc:threadedComment ref="G10" dT="2026-10-06T15:59:23.997" personId="{25DF97B0-CF0A-4315-97A5-EDD1D2A9B51B}" id="{2152CD1E-20EC-6CF6-948F-366D526B604C}">
    <xltc:text>M3: explicit new simulation assumption for version 2. Not supplied by the linked fan estimates. See Revision and Sources.</xltc:text>
  </xltc:threadedComment>
  <xltc:threadedComment ref="H10" dT="2026-10-06T15:59:23.997" personId="{25DF97B0-CF0A-4315-97A5-EDD1D2A9B51B}" id="{08EE7E36-DB51-2AC4-F3B3-E0FDDD9A17BE}">
    <xltc:text>M3: explicit new simulation assumption for version 2. Not supplied by the linked fan estimates. See Revision and Sources.</xltc:text>
  </xltc:threadedComment>
  <xltc:threadedComment ref="I10" dT="2026-10-06T15:59:23.997" personId="{25DF97B0-CF0A-4315-97A5-EDD1D2A9B51B}" id="{2AC39344-18AB-516E-A0C0-F257816E121D}">
    <xltc:text>M3: explicit new simulation assumption for version 2. Not supplied by the linked fan estimates. See Revision and Sources.</xltc:text>
  </xltc:threadedComment>
  <xltc:threadedComment ref="J10" dT="2026-10-06T15:59:23.997" personId="{25DF97B0-CF0A-4315-97A5-EDD1D2A9B51B}" id="{F45150A6-ADDB-8C66-4CB3-AD74351639F0}">
    <xltc:text>M3: explicit new simulation assumption for version 2. Not supplied by the linked fan estimates. See Revision and Sources.</xltc:text>
  </xltc:threadedComment>
  <xltc:threadedComment ref="T10" dT="2026-10-06T15:59:23.997" personId="{25DF97B0-CF0A-4315-97A5-EDD1D2A9B51B}" id="{2B547A53-5722-D570-1064-3DCF95B548C4}">
    <xltc:text>M3: explicit new simulation assumption for version 2. Not supplied by the linked fan estimates. See Revision and Sources.</xltc:text>
  </xltc:threadedComment>
  <xltc:threadedComment ref="S11" dT="2026-10-06T15:59:23.997" personId="{25DF97B0-CF0A-4315-97A5-EDD1D2A9B51B}" id="{1E96D1A4-0C17-47A3-3399-126AFCFA052C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U11" dT="2026-10-06T15:59:23.997" personId="{25DF97B0-CF0A-4315-97A5-EDD1D2A9B51B}" id="{9C7C805F-218A-3DD8-4447-570D83B73F6F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D11" dT="2026-10-06T15:59:23.997" personId="{25DF97B0-CF0A-4315-97A5-EDD1D2A9B51B}" id="{409B37B3-C48F-6066-DC03-C612A039047E}">
    <xltc:text>M3: explicit new simulation assumption for version 2. Not supplied by the linked fan estimates. See Revision and Sources.</xltc:text>
  </xltc:threadedComment>
  <xltc:threadedComment ref="E11" dT="2026-10-06T15:59:23.997" personId="{25DF97B0-CF0A-4315-97A5-EDD1D2A9B51B}" id="{0915FCF1-FE2D-2545-66B1-44FCD23967F5}">
    <xltc:text>M3: explicit new simulation assumption for version 2. Not supplied by the linked fan estimates. See Revision and Sources.</xltc:text>
  </xltc:threadedComment>
  <xltc:threadedComment ref="F11" dT="2026-10-06T15:59:23.997" personId="{25DF97B0-CF0A-4315-97A5-EDD1D2A9B51B}" id="{F17409AE-F81A-8062-6C1B-25316BA90980}">
    <xltc:text>M3: explicit new simulation assumption for version 2. Not supplied by the linked fan estimates. See Revision and Sources.</xltc:text>
  </xltc:threadedComment>
  <xltc:threadedComment ref="G11" dT="2026-10-06T15:59:23.997" personId="{25DF97B0-CF0A-4315-97A5-EDD1D2A9B51B}" id="{AFE6288C-6A78-D926-C122-65C0022BAC0D}">
    <xltc:text>M3: explicit new simulation assumption for version 2. Not supplied by the linked fan estimates. See Revision and Sources.</xltc:text>
  </xltc:threadedComment>
  <xltc:threadedComment ref="H11" dT="2026-10-06T15:59:23.997" personId="{25DF97B0-CF0A-4315-97A5-EDD1D2A9B51B}" id="{738CB029-CA5F-FD58-1D92-E4177D1A3D34}">
    <xltc:text>M3: explicit new simulation assumption for version 2. Not supplied by the linked fan estimates. See Revision and Sources.</xltc:text>
  </xltc:threadedComment>
  <xltc:threadedComment ref="I11" dT="2026-10-06T15:59:23.997" personId="{25DF97B0-CF0A-4315-97A5-EDD1D2A9B51B}" id="{5F7B775F-0E9B-AEA1-BF3B-90818B6F97D3}">
    <xltc:text>M3: explicit new simulation assumption for version 2. Not supplied by the linked fan estimates. See Revision and Sources.</xltc:text>
  </xltc:threadedComment>
  <xltc:threadedComment ref="J11" dT="2026-10-06T15:59:23.997" personId="{25DF97B0-CF0A-4315-97A5-EDD1D2A9B51B}" id="{2B3127D2-1AB9-BA6B-3C66-2C44E238705D}">
    <xltc:text>M3: explicit new simulation assumption for version 2. Not supplied by the linked fan estimates. See Revision and Sources.</xltc:text>
  </xltc:threadedComment>
  <xltc:threadedComment ref="T11" dT="2026-10-06T15:59:23.997" personId="{25DF97B0-CF0A-4315-97A5-EDD1D2A9B51B}" id="{8266BE15-4BB7-A98C-0461-099355020B79}">
    <xltc:text>M3: explicit new simulation assumption for version 2. Not supplied by the linked fan estimates. See Revision and Sources.</xltc:text>
  </xltc:threadedComment>
  <xltc:threadedComment ref="S12" dT="2026-10-06T15:59:23.997" personId="{25DF97B0-CF0A-4315-97A5-EDD1D2A9B51B}" id="{1B747EC6-5138-64D4-DD62-B563565FA57B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U12" dT="2026-10-06T15:59:23.997" personId="{25DF97B0-CF0A-4315-97A5-EDD1D2A9B51B}" id="{47578CDF-3AB2-32B3-3FAE-A5EC85C1B6A8}">
    <xltc:text>Version 2. User-approved annual income choice. https://racefortheironthrone.wordpress.com/2016/08/17/x-posted-from-tumblr-estimates-of-great-house-incomes/ Tully potential is not added to receipts; F1/F2 are fan estimates, not canon.</xltc:text>
  </xltc:threadedComment>
  <xltc:threadedComment ref="D12" dT="2026-10-06T15:59:23.997" personId="{25DF97B0-CF0A-4315-97A5-EDD1D2A9B51B}" id="{E2CBF4B3-7C12-3C9A-78AA-8C66F72A5956}">
    <xltc:text>M3: explicit new simulation assumption for version 2. Not supplied by the linked fan estimates. See Revision and Sources.</xltc:text>
  </xltc:threadedComment>
  <xltc:threadedComment ref="E12" dT="2026-10-06T15:59:23.997" personId="{25DF97B0-CF0A-4315-97A5-EDD1D2A9B51B}" id="{538085FF-051A-E139-0D33-3CE899736015}">
    <xltc:text>M3: explicit new simulation assumption for version 2. Not supplied by the linked fan estimates. See Revision and Sources.</xltc:text>
  </xltc:threadedComment>
  <xltc:threadedComment ref="F12" dT="2026-10-06T15:59:23.997" personId="{25DF97B0-CF0A-4315-97A5-EDD1D2A9B51B}" id="{45650EA1-CA2B-182E-53F1-4EA9ABB5D686}">
    <xltc:text>M3: explicit new simulation assumption for version 2. Not supplied by the linked fan estimates. See Revision and Sources.</xltc:text>
  </xltc:threadedComment>
  <xltc:threadedComment ref="G12" dT="2026-10-06T15:59:23.997" personId="{25DF97B0-CF0A-4315-97A5-EDD1D2A9B51B}" id="{0D19D1B8-C18B-6772-3850-4F5995D43D71}">
    <xltc:text>M3: explicit new simulation assumption for version 2. Not supplied by the linked fan estimates. See Revision and Sources.</xltc:text>
  </xltc:threadedComment>
  <xltc:threadedComment ref="H12" dT="2026-10-06T15:59:23.997" personId="{25DF97B0-CF0A-4315-97A5-EDD1D2A9B51B}" id="{886EC8F1-4895-AE86-018E-D004D3568DAC}">
    <xltc:text>M3: explicit new simulation assumption for version 2. Not supplied by the linked fan estimates. See Revision and Sources.</xltc:text>
  </xltc:threadedComment>
  <xltc:threadedComment ref="I12" dT="2026-10-06T15:59:23.997" personId="{25DF97B0-CF0A-4315-97A5-EDD1D2A9B51B}" id="{FA30D2F2-B595-A84F-8E23-9B55CA304D51}">
    <xltc:text>M3: explicit new simulation assumption for version 2. Not supplied by the linked fan estimates. See Revision and Sources.</xltc:text>
  </xltc:threadedComment>
  <xltc:threadedComment ref="J12" dT="2026-10-06T15:59:23.997" personId="{25DF97B0-CF0A-4315-97A5-EDD1D2A9B51B}" id="{9B3F390A-153D-42EE-916A-931DCBAE5CE1}">
    <xltc:text>M3: explicit new simulation assumption for version 2. Not supplied by the linked fan estimates. See Revision and Sources.</xltc:text>
  </xltc:threadedComment>
  <xltc:threadedComment ref="T12" dT="2026-10-06T15:59:23.997" personId="{25DF97B0-CF0A-4315-97A5-EDD1D2A9B51B}" id="{675106D5-0FDB-2F9E-3877-39B9627260E9}">
    <xltc:text>M3: explicit new simulation assumption for version 2. Not supplied by the linked fan estimates. See Revision and Sources.</xltc:text>
  </xltc:threadedComment>
  <xltc:threadedComment ref="S13" dT="2026-10-06T15:59:23.998" personId="{25DF97B0-CF0A-4315-97A5-EDD1D2A9B51B}" id="{E1B0F092-1DBA-6FB0-5963-DD60EA5A5AF3}">
    <xltc:text>Version 2. User-approved annual income choice. M3: independent Crown scenario choice. Tully potential is not added to receipts; F1/F2 are fan estimates, not canon.</xltc:text>
  </xltc:threadedComment>
  <xltc:threadedComment ref="U13" dT="2026-10-06T15:59:23.998" personId="{25DF97B0-CF0A-4315-97A5-EDD1D2A9B51B}" id="{CAB88FF0-3362-8B33-47F4-83F6C1B77808}">
    <xltc:text>Version 2. User-approved annual income choice. M3: independent Crown scenario choice. Tully potential is not added to receipts; F1/F2 are fan estimates, not canon.</xltc:text>
  </xltc:threadedComment>
  <xltc:threadedComment ref="D13" dT="2026-10-06T15:59:23.998" personId="{25DF97B0-CF0A-4315-97A5-EDD1D2A9B51B}" id="{9A972881-E847-0261-AC68-258E58A3DB30}">
    <xltc:text>M3: explicit new simulation assumption for version 2. Not supplied by the linked fan estimates. See Revision and Sources.</xltc:text>
  </xltc:threadedComment>
  <xltc:threadedComment ref="E13" dT="2026-10-06T15:59:23.998" personId="{25DF97B0-CF0A-4315-97A5-EDD1D2A9B51B}" id="{24B2DFC8-F666-3827-86DB-2A0A007E3DFE}">
    <xltc:text>M3: explicit new simulation assumption for version 2. Not supplied by the linked fan estimates. See Revision and Sources.</xltc:text>
  </xltc:threadedComment>
  <xltc:threadedComment ref="F13" dT="2026-10-06T15:59:23.998" personId="{25DF97B0-CF0A-4315-97A5-EDD1D2A9B51B}" id="{544BD381-274C-B07B-560B-11093FE69D29}">
    <xltc:text>M3: explicit new simulation assumption for version 2. Not supplied by the linked fan estimates. See Revision and Sources.</xltc:text>
  </xltc:threadedComment>
  <xltc:threadedComment ref="G13" dT="2026-10-06T15:59:23.998" personId="{25DF97B0-CF0A-4315-97A5-EDD1D2A9B51B}" id="{F1158954-A4B7-72C9-059A-054019B800F0}">
    <xltc:text>M3: explicit new simulation assumption for version 2. Not supplied by the linked fan estimates. See Revision and Sources.</xltc:text>
  </xltc:threadedComment>
  <xltc:threadedComment ref="H13" dT="2026-10-06T15:59:23.998" personId="{25DF97B0-CF0A-4315-97A5-EDD1D2A9B51B}" id="{AE29D00A-41F2-F252-248E-84D2086A2CB9}">
    <xltc:text>M3: explicit new simulation assumption for version 2. Not supplied by the linked fan estimates. See Revision and Sources.</xltc:text>
  </xltc:threadedComment>
  <xltc:threadedComment ref="I13" dT="2026-10-06T15:59:23.998" personId="{25DF97B0-CF0A-4315-97A5-EDD1D2A9B51B}" id="{120474B4-B0D2-3F03-3877-BB09F28CE9AA}">
    <xltc:text>M3: explicit new simulation assumption for version 2. Not supplied by the linked fan estimates. See Revision and Sources.</xltc:text>
  </xltc:threadedComment>
  <xltc:threadedComment ref="J13" dT="2026-10-06T15:59:23.998" personId="{25DF97B0-CF0A-4315-97A5-EDD1D2A9B51B}" id="{1A156387-5A72-1E80-599F-ECC57DDFDFE3}">
    <xltc:text>M3: explicit new simulation assumption for version 2. Not supplied by the linked fan estimates. See Revision and Sources.</xltc:text>
  </xltc:threadedComment>
  <xltc:threadedComment ref="T13" dT="2026-10-06T15:59:23.998" personId="{25DF97B0-CF0A-4315-97A5-EDD1D2A9B51B}" id="{B309BC84-9D98-DC9C-9BEF-1BC46EDFDC6C}">
    <xltc:text>M3: explicit new simulation assumption for version 2. Not supplied by the linked fan estimates. See Revision and Sources.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10-06T14:30:30.43" personId="{FB322883-AC59-4354-A3C9-6FC54FE2166A}" id="{428E61E5-2AFA-632C-E957-2E3C6EA16848}">
    <xltc:text>M1: new postwar net-cash budget. Resources are lore-informed (L2–L10), but no source establishes this number.</xltc:text>
  </xltc:threadedComment>
  <xltc:threadedComment ref="C5" dT="2026-10-06T14:30:30.43" personId="{FB322883-AC59-4354-A3C9-6FC54FE2166A}" id="{10F4E5C3-0A87-594F-A166-33E0F9A2EA8D}">
    <xltc:text>M1: new postwar net-cash budget. Resources are lore-informed (L2–L10), but no source establishes this number.</xltc:text>
  </xltc:threadedComment>
  <xltc:threadedComment ref="D5" dT="2026-10-06T14:30:30.43" personId="{FB322883-AC59-4354-A3C9-6FC54FE2166A}" id="{C0467956-F5C2-4675-DF41-B4BE50FEF4E0}">
    <xltc:text>M1: new postwar net-cash budget. Resources are lore-informed (L2–L10), but no source establishes this number.</xltc:text>
  </xltc:threadedComment>
  <xltc:threadedComment ref="E5" dT="2026-10-06T14:30:30.43" personId="{FB322883-AC59-4354-A3C9-6FC54FE2166A}" id="{2AE157CA-C092-17CF-994E-03E0E0823B89}">
    <xltc:text>M1: new postwar net-cash budget. Resources are lore-informed (L2–L10), but no source establishes this number.</xltc:text>
  </xltc:threadedComment>
  <xltc:threadedComment ref="F5" dT="2026-10-06T14:30:30.43" personId="{FB322883-AC59-4354-A3C9-6FC54FE2166A}" id="{29DDED70-B072-84DB-938E-6B2D1FDFB840}">
    <xltc:text>M1: new postwar net-cash budget. Resources are lore-informed (L2–L10), but no source establishes this number.</xltc:text>
  </xltc:threadedComment>
  <xltc:threadedComment ref="G5" dT="2026-10-06T14:30:30.43" personId="{FB322883-AC59-4354-A3C9-6FC54FE2166A}" id="{2B324778-3332-6F4A-8451-F15C9D7C0CF0}">
    <xltc:text>M1: new postwar net-cash budget. Resources are lore-informed (L2–L10), but no source establishes this number.</xltc:text>
  </xltc:threadedComment>
  <xltc:threadedComment ref="B6" dT="2026-10-06T14:30:30.43" personId="{FB322883-AC59-4354-A3C9-6FC54FE2166A}" id="{C95C8CC8-5E01-341B-2EBA-3AB6C20F349F}">
    <xltc:text>M1: new postwar net-cash budget. Resources are lore-informed (L2–L10), but no source establishes this number.</xltc:text>
  </xltc:threadedComment>
  <xltc:threadedComment ref="C6" dT="2026-10-06T14:30:30.43" personId="{FB322883-AC59-4354-A3C9-6FC54FE2166A}" id="{04F98EEE-64E4-A87D-7C46-C1BE57D36660}">
    <xltc:text>M1: new postwar net-cash budget. Resources are lore-informed (L2–L10), but no source establishes this number.</xltc:text>
  </xltc:threadedComment>
  <xltc:threadedComment ref="D6" dT="2026-10-06T14:30:30.43" personId="{FB322883-AC59-4354-A3C9-6FC54FE2166A}" id="{5DAB4104-C3DC-D67D-1158-93B5AEE5B01C}">
    <xltc:text>M1: new postwar net-cash budget. Resources are lore-informed (L2–L10), but no source establishes this number.</xltc:text>
  </xltc:threadedComment>
  <xltc:threadedComment ref="E6" dT="2026-10-06T14:30:30.43" personId="{FB322883-AC59-4354-A3C9-6FC54FE2166A}" id="{553B710E-9466-5941-9F59-95BD1BD84654}">
    <xltc:text>M1: new postwar net-cash budget. Resources are lore-informed (L2–L10), but no source establishes this number.</xltc:text>
  </xltc:threadedComment>
  <xltc:threadedComment ref="F6" dT="2026-10-06T14:30:30.43" personId="{FB322883-AC59-4354-A3C9-6FC54FE2166A}" id="{3B0D58AE-7726-7C04-6EFA-859543BA07D4}">
    <xltc:text>M1: new postwar net-cash budget. Resources are lore-informed (L2–L10), but no source establishes this number.</xltc:text>
  </xltc:threadedComment>
  <xltc:threadedComment ref="G6" dT="2026-10-06T14:30:30.43" personId="{FB322883-AC59-4354-A3C9-6FC54FE2166A}" id="{AB0BFED7-8260-B83A-9179-63260198AB22}">
    <xltc:text>M1: new postwar net-cash budget. Resources are lore-informed (L2–L10), but no source establishes this number.</xltc:text>
  </xltc:threadedComment>
  <xltc:threadedComment ref="B7" dT="2026-10-06T14:30:30.43" personId="{FB322883-AC59-4354-A3C9-6FC54FE2166A}" id="{AE66475B-6AE8-6702-4517-5A1CB0583082}">
    <xltc:text>M1: new postwar net-cash budget. Resources are lore-informed (L2–L10), but no source establishes this number.</xltc:text>
  </xltc:threadedComment>
  <xltc:threadedComment ref="C7" dT="2026-10-06T14:30:30.43" personId="{FB322883-AC59-4354-A3C9-6FC54FE2166A}" id="{43E7030E-D7C8-07E0-20CF-5EAF231FDA6D}">
    <xltc:text>M1: new postwar net-cash budget. Resources are lore-informed (L2–L10), but no source establishes this number.</xltc:text>
  </xltc:threadedComment>
  <xltc:threadedComment ref="D7" dT="2026-10-06T14:30:30.43" personId="{FB322883-AC59-4354-A3C9-6FC54FE2166A}" id="{958B7949-34D4-EF5F-2E52-FAAF95D19C2D}">
    <xltc:text>M1: new postwar net-cash budget. Resources are lore-informed (L2–L10), but no source establishes this number.</xltc:text>
  </xltc:threadedComment>
  <xltc:threadedComment ref="E7" dT="2026-10-06T14:30:30.43" personId="{FB322883-AC59-4354-A3C9-6FC54FE2166A}" id="{B3C1E2BE-D3DC-5C8C-BE5F-143AA4D3B2E0}">
    <xltc:text>M1: new postwar net-cash budget. Resources are lore-informed (L2–L10), but no source establishes this number.</xltc:text>
  </xltc:threadedComment>
  <xltc:threadedComment ref="F7" dT="2026-10-06T14:30:30.43" personId="{FB322883-AC59-4354-A3C9-6FC54FE2166A}" id="{F37A889E-DEFF-A581-B1AF-6FE03733ED1F}">
    <xltc:text>M1: new postwar net-cash budget. Resources are lore-informed (L2–L10), but no source establishes this number.</xltc:text>
  </xltc:threadedComment>
  <xltc:threadedComment ref="G7" dT="2026-10-06T14:30:30.43" personId="{FB322883-AC59-4354-A3C9-6FC54FE2166A}" id="{D36CBA0E-6F80-1C40-F317-488454160913}">
    <xltc:text>M1: new postwar net-cash budget. Resources are lore-informed (L2–L10), but no source establishes this number.</xltc:text>
  </xltc:threadedComment>
  <xltc:threadedComment ref="B8" dT="2026-10-06T14:30:30.43" personId="{FB322883-AC59-4354-A3C9-6FC54FE2166A}" id="{71BB75E7-10CA-C295-86AA-FEE5F9BF9299}">
    <xltc:text>M1: new postwar net-cash budget. Resources are lore-informed (L2–L10), but no source establishes this number.</xltc:text>
  </xltc:threadedComment>
  <xltc:threadedComment ref="C8" dT="2026-10-06T14:30:30.43" personId="{FB322883-AC59-4354-A3C9-6FC54FE2166A}" id="{55B6721D-A88B-9A9C-5368-285972CBB739}">
    <xltc:text>M1: new postwar net-cash budget. Resources are lore-informed (L2–L10), but no source establishes this number.</xltc:text>
  </xltc:threadedComment>
  <xltc:threadedComment ref="D8" dT="2026-10-06T14:30:30.43" personId="{FB322883-AC59-4354-A3C9-6FC54FE2166A}" id="{8F9DB51B-0477-6892-1F35-0DFC0D5E0F16}">
    <xltc:text>M1: new postwar net-cash budget. Resources are lore-informed (L2–L10), but no source establishes this number.</xltc:text>
  </xltc:threadedComment>
  <xltc:threadedComment ref="E8" dT="2026-10-06T14:30:30.43" personId="{FB322883-AC59-4354-A3C9-6FC54FE2166A}" id="{6261162A-3F7E-DAD1-29C3-6153A39B9233}">
    <xltc:text>M1: new postwar net-cash budget. Resources are lore-informed (L2–L10), but no source establishes this number.</xltc:text>
  </xltc:threadedComment>
  <xltc:threadedComment ref="F8" dT="2026-10-06T14:30:30.43" personId="{FB322883-AC59-4354-A3C9-6FC54FE2166A}" id="{2AAB59C4-09FC-D475-EE36-4882119BFC06}">
    <xltc:text>M1: new postwar net-cash budget. Resources are lore-informed (L2–L10), but no source establishes this number.</xltc:text>
  </xltc:threadedComment>
  <xltc:threadedComment ref="G8" dT="2026-10-06T14:30:30.43" personId="{FB322883-AC59-4354-A3C9-6FC54FE2166A}" id="{EABEFF32-9CAD-6C86-5879-83ED84011091}">
    <xltc:text>M1: new postwar net-cash budget. Resources are lore-informed (L2–L10), but no source establishes this number.</xltc:text>
  </xltc:threadedComment>
  <xltc:threadedComment ref="B9" dT="2026-10-06T14:30:30.43" personId="{FB322883-AC59-4354-A3C9-6FC54FE2166A}" id="{FEB2709A-6DB3-D4C3-B144-C16A18DC6701}">
    <xltc:text>M1: new postwar net-cash budget. Resources are lore-informed (L2–L10), but no source establishes this number.</xltc:text>
  </xltc:threadedComment>
  <xltc:threadedComment ref="C9" dT="2026-10-06T14:30:30.43" personId="{FB322883-AC59-4354-A3C9-6FC54FE2166A}" id="{B38FA9CD-70FD-E21D-14F1-E959CF1BD507}">
    <xltc:text>M1: new postwar net-cash budget. Resources are lore-informed (L2–L10), but no source establishes this number.</xltc:text>
  </xltc:threadedComment>
  <xltc:threadedComment ref="D9" dT="2026-10-06T14:30:30.43" personId="{FB322883-AC59-4354-A3C9-6FC54FE2166A}" id="{94871DF7-5847-A108-3A36-2599A68A6AB3}">
    <xltc:text>M1: new postwar net-cash budget. Resources are lore-informed (L2–L10), but no source establishes this number.</xltc:text>
  </xltc:threadedComment>
  <xltc:threadedComment ref="E9" dT="2026-10-06T14:30:30.43" personId="{FB322883-AC59-4354-A3C9-6FC54FE2166A}" id="{79537A40-AE51-2A7F-3F54-16D95A217684}">
    <xltc:text>M1: new postwar net-cash budget. Resources are lore-informed (L2–L10), but no source establishes this number.</xltc:text>
  </xltc:threadedComment>
  <xltc:threadedComment ref="F9" dT="2026-10-06T14:30:30.43" personId="{FB322883-AC59-4354-A3C9-6FC54FE2166A}" id="{9094F450-3C78-63D4-A72F-FA24C0FC0009}">
    <xltc:text>M1: new postwar net-cash budget. Resources are lore-informed (L2–L10), but no source establishes this number.</xltc:text>
  </xltc:threadedComment>
  <xltc:threadedComment ref="G9" dT="2026-10-06T14:30:30.43" personId="{FB322883-AC59-4354-A3C9-6FC54FE2166A}" id="{B5754830-2867-6FA4-C294-FB07B01E570F}">
    <xltc:text>M1: new postwar net-cash budget. Resources are lore-informed (L2–L10), but no source establishes this number.</xltc:text>
  </xltc:threadedComment>
  <xltc:threadedComment ref="B10" dT="2026-10-06T14:30:30.43" personId="{FB322883-AC59-4354-A3C9-6FC54FE2166A}" id="{CF5D7BD5-ACA0-9249-E32B-16F760004F63}">
    <xltc:text>M1: new postwar net-cash budget. Resources are lore-informed (L2–L10), but no source establishes this number.</xltc:text>
  </xltc:threadedComment>
  <xltc:threadedComment ref="C10" dT="2026-10-06T14:30:30.43" personId="{FB322883-AC59-4354-A3C9-6FC54FE2166A}" id="{51047EF0-91EE-6274-7080-6276E4F2FD38}">
    <xltc:text>M1: new postwar net-cash budget. Resources are lore-informed (L2–L10), but no source establishes this number.</xltc:text>
  </xltc:threadedComment>
  <xltc:threadedComment ref="D10" dT="2026-10-06T14:30:30.43" personId="{FB322883-AC59-4354-A3C9-6FC54FE2166A}" id="{7CEC0F53-3AF8-FE55-9720-B36297690174}">
    <xltc:text>M1: new postwar net-cash budget. Resources are lore-informed (L2–L10), but no source establishes this number.</xltc:text>
  </xltc:threadedComment>
  <xltc:threadedComment ref="E10" dT="2026-10-06T14:30:30.43" personId="{FB322883-AC59-4354-A3C9-6FC54FE2166A}" id="{DB4C6827-2F56-8BE4-F87A-1C0FAD925B0C}">
    <xltc:text>M1: new postwar net-cash budget. Resources are lore-informed (L2–L10), but no source establishes this number.</xltc:text>
  </xltc:threadedComment>
  <xltc:threadedComment ref="F10" dT="2026-10-06T14:30:30.43" personId="{FB322883-AC59-4354-A3C9-6FC54FE2166A}" id="{665FBC26-9AB5-2C8F-5178-0F8EA82B22D4}">
    <xltc:text>M1: new postwar net-cash budget. Resources are lore-informed (L2–L10), but no source establishes this number.</xltc:text>
  </xltc:threadedComment>
  <xltc:threadedComment ref="G10" dT="2026-10-06T14:30:30.43" personId="{FB322883-AC59-4354-A3C9-6FC54FE2166A}" id="{80FA53A4-8056-D7BB-89D6-6ED169D58CD8}">
    <xltc:text>M1: new postwar net-cash budget. Resources are lore-informed (L2–L10), but no source establishes this number.</xltc:text>
  </xltc:threadedComment>
  <xltc:threadedComment ref="B11" dT="2026-10-06T14:30:30.43" personId="{FB322883-AC59-4354-A3C9-6FC54FE2166A}" id="{EB7C60E5-48A9-42AF-2D35-34B56BC7E03E}">
    <xltc:text>M1: new postwar net-cash budget. Resources are lore-informed (L2–L10), but no source establishes this number.</xltc:text>
  </xltc:threadedComment>
  <xltc:threadedComment ref="C11" dT="2026-10-06T14:30:30.43" personId="{FB322883-AC59-4354-A3C9-6FC54FE2166A}" id="{A476D1A2-A173-6213-7630-27EA9652489C}">
    <xltc:text>M1: new postwar net-cash budget. Resources are lore-informed (L2–L10), but no source establishes this number.</xltc:text>
  </xltc:threadedComment>
  <xltc:threadedComment ref="D11" dT="2026-10-06T14:30:30.43" personId="{FB322883-AC59-4354-A3C9-6FC54FE2166A}" id="{8BB1B480-0814-66BE-6E98-51E26A906C42}">
    <xltc:text>M1: new postwar net-cash budget. Resources are lore-informed (L2–L10), but no source establishes this number.</xltc:text>
  </xltc:threadedComment>
  <xltc:threadedComment ref="E11" dT="2026-10-06T14:30:30.43" personId="{FB322883-AC59-4354-A3C9-6FC54FE2166A}" id="{B750D18D-648A-74DB-8887-D63100402E5E}">
    <xltc:text>M1: new postwar net-cash budget. Resources are lore-informed (L2–L10), but no source establishes this number.</xltc:text>
  </xltc:threadedComment>
  <xltc:threadedComment ref="F11" dT="2026-10-06T14:30:30.43" personId="{FB322883-AC59-4354-A3C9-6FC54FE2166A}" id="{4AA98EB6-AE99-0C46-EA29-639C9CFDC126}">
    <xltc:text>M1: new postwar net-cash budget. Resources are lore-informed (L2–L10), but no source establishes this number.</xltc:text>
  </xltc:threadedComment>
  <xltc:threadedComment ref="G11" dT="2026-10-06T14:30:30.43" personId="{FB322883-AC59-4354-A3C9-6FC54FE2166A}" id="{8D5F561C-9489-C136-7F65-35724724C59C}">
    <xltc:text>M1: new postwar net-cash budget. Resources are lore-informed (L2–L10), but no source establishes this number.</xltc:text>
  </xltc:threadedComment>
  <xltc:threadedComment ref="B12" dT="2026-10-06T14:30:30.431" personId="{FB322883-AC59-4354-A3C9-6FC54FE2166A}" id="{BB8E64E4-062E-A7D7-EC95-6DBAEF8156A5}">
    <xltc:text>M1: new postwar net-cash budget. Resources are lore-informed (L2–L10), but no source establishes this number.</xltc:text>
  </xltc:threadedComment>
  <xltc:threadedComment ref="C12" dT="2026-10-06T14:30:30.431" personId="{FB322883-AC59-4354-A3C9-6FC54FE2166A}" id="{39ACFC6A-3D4F-EDAC-FA3C-3E366DCCB6C0}">
    <xltc:text>M1: new postwar net-cash budget. Resources are lore-informed (L2–L10), but no source establishes this number.</xltc:text>
  </xltc:threadedComment>
  <xltc:threadedComment ref="D12" dT="2026-10-06T14:30:30.431" personId="{FB322883-AC59-4354-A3C9-6FC54FE2166A}" id="{267B42A1-A3F9-A910-F7FC-D678E18262A0}">
    <xltc:text>M1: new postwar net-cash budget. Resources are lore-informed (L2–L10), but no source establishes this number.</xltc:text>
  </xltc:threadedComment>
  <xltc:threadedComment ref="E12" dT="2026-10-06T14:30:30.431" personId="{FB322883-AC59-4354-A3C9-6FC54FE2166A}" id="{EC9A5300-3CAA-66FC-586C-1352628532C2}">
    <xltc:text>M1: new postwar net-cash budget. Resources are lore-informed (L2–L10), but no source establishes this number.</xltc:text>
  </xltc:threadedComment>
  <xltc:threadedComment ref="F12" dT="2026-10-06T14:30:30.431" personId="{FB322883-AC59-4354-A3C9-6FC54FE2166A}" id="{2997319D-2589-17B6-8349-C34A33D576D2}">
    <xltc:text>M1: new postwar net-cash budget. Resources are lore-informed (L2–L10), but no source establishes this number.</xltc:text>
  </xltc:threadedComment>
  <xltc:threadedComment ref="G12" dT="2026-10-06T14:30:30.431" personId="{FB322883-AC59-4354-A3C9-6FC54FE2166A}" id="{162950F5-0AA0-5CB8-087E-A557EA0AC1B9}">
    <xltc:text>M1: new postwar net-cash budget. Resources are lore-informed (L2–L10), but no source establishes this number.</xltc:text>
  </xltc:threadedComment>
  <xltc:threadedComment ref="B13" dT="2026-10-06T14:30:30.431" personId="{FB322883-AC59-4354-A3C9-6FC54FE2166A}" id="{3FD2F90F-FAB5-9858-8A64-2B223ECD30AD}">
    <xltc:text>M1: new postwar net-cash budget. Resources are lore-informed (L2–L10), but no source establishes this number.</xltc:text>
  </xltc:threadedComment>
  <xltc:threadedComment ref="C13" dT="2026-10-06T14:30:30.431" personId="{FB322883-AC59-4354-A3C9-6FC54FE2166A}" id="{65F51584-6DA1-1D78-CBE9-A390C8EE9B1E}">
    <xltc:text>M1: new postwar net-cash budget. Resources are lore-informed (L2–L10), but no source establishes this number.</xltc:text>
  </xltc:threadedComment>
  <xltc:threadedComment ref="D13" dT="2026-10-06T14:30:30.431" personId="{FB322883-AC59-4354-A3C9-6FC54FE2166A}" id="{9AB0F5EE-66FD-FA39-7D98-0F8C40B3BF35}">
    <xltc:text>M1: new postwar net-cash budget. Resources are lore-informed (L2–L10), but no source establishes this number.</xltc:text>
  </xltc:threadedComment>
  <xltc:threadedComment ref="E13" dT="2026-10-06T14:30:30.431" personId="{FB322883-AC59-4354-A3C9-6FC54FE2166A}" id="{BAD3D416-2A3F-64CC-043F-A854B5F79DE6}">
    <xltc:text>M1: new postwar net-cash budget. Resources are lore-informed (L2–L10), but no source establishes this number.</xltc:text>
  </xltc:threadedComment>
  <xltc:threadedComment ref="F13" dT="2026-10-06T14:30:30.431" personId="{FB322883-AC59-4354-A3C9-6FC54FE2166A}" id="{C6DEF3D3-B734-520A-2AAC-2753F3B3DF2E}">
    <xltc:text>M1: new postwar net-cash budget. Resources are lore-informed (L2–L10), but no source establishes this number.</xltc:text>
  </xltc:threadedComment>
  <xltc:threadedComment ref="G13" dT="2026-10-06T14:30:30.431" personId="{FB322883-AC59-4354-A3C9-6FC54FE2166A}" id="{A391AE63-F862-BDCF-04E4-CCCFE625C44B}">
    <xltc:text>M1: new postwar net-cash budget. Resources are lore-informed (L2–L10), but no source establishes this number.</xltc:text>
  </xltc:threadedComment>
  <xltc:threadedComment ref="B2" dT="2026-10-06T14:30:30.433" personId="{FB322883-AC59-4354-A3C9-6FC54FE2166A}" id="{FFA2336A-F6F5-8199-5811-E3A22129D54C}">
    <xltc:text>M1: category-wide receipt multiplier, base 1.0. Change affected regional inputs instead for local shocks.</xltc:text>
  </xltc:threadedComment>
  <xltc:threadedComment ref="C2" dT="2026-10-06T14:30:30.433" personId="{FB322883-AC59-4354-A3C9-6FC54FE2166A}" id="{EC2B73E9-8ED8-C867-E79D-DB105FA94D63}">
    <xltc:text>M1: category-wide receipt multiplier, base 1.0. Change affected regional inputs instead for local shocks.</xltc:text>
  </xltc:threadedComment>
  <xltc:threadedComment ref="D2" dT="2026-10-06T14:30:30.433" personId="{FB322883-AC59-4354-A3C9-6FC54FE2166A}" id="{4FA723C6-2BBF-1366-7C35-C657869A4360}">
    <xltc:text>M1: category-wide receipt multiplier, base 1.0. Change affected regional inputs instead for local shocks.</xltc:text>
  </xltc:threadedComment>
  <xltc:threadedComment ref="E2" dT="2026-10-06T14:30:30.433" personId="{FB322883-AC59-4354-A3C9-6FC54FE2166A}" id="{5723B7ED-4068-40D6-4990-658445D020B9}">
    <xltc:text>M1: category-wide receipt multiplier, base 1.0. Change affected regional inputs instead for local shocks.</xltc:text>
  </xltc:threadedComment>
  <xltc:threadedComment ref="F2" dT="2026-10-06T14:30:30.433" personId="{FB322883-AC59-4354-A3C9-6FC54FE2166A}" id="{EFAA0C39-F9E1-2277-2EB0-4E28FA9F87E8}">
    <xltc:text>M1: category-wide receipt multiplier, base 1.0. Change affected regional inputs instead for local shocks.</xltc:text>
  </xltc:threadedComment>
  <xltc:threadedComment ref="G2" dT="2026-10-06T14:30:30.433" personId="{FB322883-AC59-4354-A3C9-6FC54FE2166A}" id="{2158133D-AEAA-763E-9F7E-ED378A168451}">
    <xltc:text>M1: category-wide receipt multiplier, base 1.0. Change affected regional inputs instead for local shocks.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5" dT="2026-10-06T14:30:30.431" personId="{FB322883-AC59-4354-A3C9-6FC54FE2166A}" id="{F0BB6270-1E5F-99C2-3A88-C9FE56F93B23}">
    <xltc:text>M1: negotiated Crown obligation / compliance setting. H1 supports historical forms, not the exact amount.</xltc:text>
  </xltc:threadedComment>
  <xltc:threadedComment ref="C5" dT="2026-10-06T14:30:30.431" personId="{FB322883-AC59-4354-A3C9-6FC54FE2166A}" id="{ABE171A4-9BE6-7310-E0B2-2D7393AED4A9}">
    <xltc:text>M1: negotiated Crown obligation / compliance setting. H1 supports historical forms, not the exact amount.</xltc:text>
  </xltc:threadedComment>
  <xltc:threadedComment ref="D5" dT="2026-10-06T14:30:30.431" personId="{FB322883-AC59-4354-A3C9-6FC54FE2166A}" id="{AE73E5C3-9C33-69EA-50DD-562F300F5D2A}">
    <xltc:text>M1: negotiated Crown obligation / compliance setting. H1 supports historical forms, not the exact amount.</xltc:text>
  </xltc:threadedComment>
  <xltc:threadedComment ref="F5" dT="2026-10-06T14:30:30.431" personId="{FB322883-AC59-4354-A3C9-6FC54FE2166A}" id="{7D4F1BC7-A2BF-33F5-4B5B-F39168384187}">
    <xltc:text>M1: negotiated Crown obligation / compliance setting. H1 supports historical forms, not the exact amount.</xltc:text>
  </xltc:threadedComment>
  <xltc:threadedComment ref="B6" dT="2026-10-06T14:30:30.431" personId="{FB322883-AC59-4354-A3C9-6FC54FE2166A}" id="{B53B7BB9-E63D-8E03-6A76-589855E246CF}">
    <xltc:text>M1: negotiated Crown obligation / compliance setting. H1 supports historical forms, not the exact amount.</xltc:text>
  </xltc:threadedComment>
  <xltc:threadedComment ref="C6" dT="2026-10-06T14:30:30.431" personId="{FB322883-AC59-4354-A3C9-6FC54FE2166A}" id="{2FFF2766-3B44-5F2F-E177-B83DBFD97A04}">
    <xltc:text>M1: negotiated Crown obligation / compliance setting. H1 supports historical forms, not the exact amount.</xltc:text>
  </xltc:threadedComment>
  <xltc:threadedComment ref="D6" dT="2026-10-06T14:30:30.431" personId="{FB322883-AC59-4354-A3C9-6FC54FE2166A}" id="{B9E88A32-AA3F-039E-BED7-5BEA1CD395B0}">
    <xltc:text>M1: negotiated Crown obligation / compliance setting. H1 supports historical forms, not the exact amount.</xltc:text>
  </xltc:threadedComment>
  <xltc:threadedComment ref="F6" dT="2026-10-06T14:30:30.431" personId="{FB322883-AC59-4354-A3C9-6FC54FE2166A}" id="{7CEBA717-A5C9-947C-5A3F-D190C6966BC4}">
    <xltc:text>M1: negotiated Crown obligation / compliance setting. H1 supports historical forms, not the exact amount.</xltc:text>
  </xltc:threadedComment>
  <xltc:threadedComment ref="B7" dT="2026-10-06T14:30:30.431" personId="{FB322883-AC59-4354-A3C9-6FC54FE2166A}" id="{2DD334DB-CDCE-54F6-1250-797BD2DA2B7A}">
    <xltc:text>M1: negotiated Crown obligation / compliance setting. H1 supports historical forms, not the exact amount.</xltc:text>
  </xltc:threadedComment>
  <xltc:threadedComment ref="C7" dT="2026-10-06T14:30:30.431" personId="{FB322883-AC59-4354-A3C9-6FC54FE2166A}" id="{B7C595E7-FFF6-A03F-BC6E-24A3DA58768E}">
    <xltc:text>M1: negotiated Crown obligation / compliance setting. H1 supports historical forms, not the exact amount.</xltc:text>
  </xltc:threadedComment>
  <xltc:threadedComment ref="D7" dT="2026-10-06T14:30:30.431" personId="{FB322883-AC59-4354-A3C9-6FC54FE2166A}" id="{E82E84AB-5AC7-96B8-E27A-6D0194C6678A}">
    <xltc:text>M1: negotiated Crown obligation / compliance setting. H1 supports historical forms, not the exact amount.</xltc:text>
  </xltc:threadedComment>
  <xltc:threadedComment ref="F7" dT="2026-10-06T14:30:30.431" personId="{FB322883-AC59-4354-A3C9-6FC54FE2166A}" id="{DA971EF9-D124-E3FF-D9B2-C5B85F270C5B}">
    <xltc:text>M1: negotiated Crown obligation / compliance setting. H1 supports historical forms, not the exact amount.</xltc:text>
  </xltc:threadedComment>
  <xltc:threadedComment ref="B8" dT="2026-10-06T14:30:30.431" personId="{FB322883-AC59-4354-A3C9-6FC54FE2166A}" id="{5B615018-8591-A857-ED42-0D9211916A96}">
    <xltc:text>M1: negotiated Crown obligation / compliance setting. H1 supports historical forms, not the exact amount.</xltc:text>
  </xltc:threadedComment>
  <xltc:threadedComment ref="C8" dT="2026-10-06T14:30:30.431" personId="{FB322883-AC59-4354-A3C9-6FC54FE2166A}" id="{6DEB9022-2A00-6D1B-C53B-2EFBB460DDBE}">
    <xltc:text>M1: negotiated Crown obligation / compliance setting. H1 supports historical forms, not the exact amount.</xltc:text>
  </xltc:threadedComment>
  <xltc:threadedComment ref="D8" dT="2026-10-06T14:30:30.431" personId="{FB322883-AC59-4354-A3C9-6FC54FE2166A}" id="{589EB99B-737E-718D-B3A6-52BD5B2CB4F1}">
    <xltc:text>M1: negotiated Crown obligation / compliance setting. H1 supports historical forms, not the exact amount.</xltc:text>
  </xltc:threadedComment>
  <xltc:threadedComment ref="F8" dT="2026-10-06T14:30:30.431" personId="{FB322883-AC59-4354-A3C9-6FC54FE2166A}" id="{CF9AB066-1D1D-9CBD-9C1B-2FBFE2400C4E}">
    <xltc:text>M1: negotiated Crown obligation / compliance setting. H1 supports historical forms, not the exact amount.</xltc:text>
  </xltc:threadedComment>
  <xltc:threadedComment ref="B9" dT="2026-10-06T14:30:30.431" personId="{FB322883-AC59-4354-A3C9-6FC54FE2166A}" id="{ECF9877F-D48A-E5B7-F34F-318E481D1BBC}">
    <xltc:text>M1: negotiated Crown obligation / compliance setting. H1 supports historical forms, not the exact amount.</xltc:text>
  </xltc:threadedComment>
  <xltc:threadedComment ref="C9" dT="2026-10-06T14:30:30.431" personId="{FB322883-AC59-4354-A3C9-6FC54FE2166A}" id="{C842C79C-2DAE-F2D9-44CD-6CCF3C3E74BB}">
    <xltc:text>M1: negotiated Crown obligation / compliance setting. H1 supports historical forms, not the exact amount.</xltc:text>
  </xltc:threadedComment>
  <xltc:threadedComment ref="D9" dT="2026-10-06T14:30:30.431" personId="{FB322883-AC59-4354-A3C9-6FC54FE2166A}" id="{25BB42D6-CB4F-7A73-6238-F39DD8CD75B5}">
    <xltc:text>M1: negotiated Crown obligation / compliance setting. H1 supports historical forms, not the exact amount.</xltc:text>
  </xltc:threadedComment>
  <xltc:threadedComment ref="F9" dT="2026-10-06T14:30:30.431" personId="{FB322883-AC59-4354-A3C9-6FC54FE2166A}" id="{5C86A5B3-5534-08C8-DE38-A9B8ADC6B9C5}">
    <xltc:text>M1: negotiated Crown obligation / compliance setting. H1 supports historical forms, not the exact amount.</xltc:text>
  </xltc:threadedComment>
  <xltc:threadedComment ref="B10" dT="2026-10-06T14:30:30.431" personId="{FB322883-AC59-4354-A3C9-6FC54FE2166A}" id="{52D5629A-5BB1-08C6-4BC8-EFBBF0F74CDD}">
    <xltc:text>M1: negotiated Crown obligation / compliance setting. H1 supports historical forms, not the exact amount.</xltc:text>
  </xltc:threadedComment>
  <xltc:threadedComment ref="C10" dT="2026-10-06T14:30:30.431" personId="{FB322883-AC59-4354-A3C9-6FC54FE2166A}" id="{15CEEE2D-FD6B-737F-15EF-CBED25BD6CBE}">
    <xltc:text>M1: negotiated Crown obligation / compliance setting. H1 supports historical forms, not the exact amount.</xltc:text>
  </xltc:threadedComment>
  <xltc:threadedComment ref="D10" dT="2026-10-06T14:30:30.431" personId="{FB322883-AC59-4354-A3C9-6FC54FE2166A}" id="{D5534913-2F86-8286-5214-7CF53A15A22F}">
    <xltc:text>M1: negotiated Crown obligation / compliance setting. H1 supports historical forms, not the exact amount.</xltc:text>
  </xltc:threadedComment>
  <xltc:threadedComment ref="F10" dT="2026-10-06T14:30:30.431" personId="{FB322883-AC59-4354-A3C9-6FC54FE2166A}" id="{797F44C4-67BB-8CCB-A5BC-E47DD79EE66A}">
    <xltc:text>M1: negotiated Crown obligation / compliance setting. H1 supports historical forms, not the exact amount.</xltc:text>
  </xltc:threadedComment>
  <xltc:threadedComment ref="B11" dT="2026-10-06T14:30:30.431" personId="{FB322883-AC59-4354-A3C9-6FC54FE2166A}" id="{F5908461-3C8F-4842-7F11-179F2E32F7FA}">
    <xltc:text>M1: negotiated Crown obligation / compliance setting. H1 supports historical forms, not the exact amount.</xltc:text>
  </xltc:threadedComment>
  <xltc:threadedComment ref="C11" dT="2026-10-06T14:30:30.431" personId="{FB322883-AC59-4354-A3C9-6FC54FE2166A}" id="{36F06243-E672-DB88-10E0-F476AB65EB4C}">
    <xltc:text>M1: negotiated Crown obligation / compliance setting. H1 supports historical forms, not the exact amount.</xltc:text>
  </xltc:threadedComment>
  <xltc:threadedComment ref="D11" dT="2026-10-06T14:30:30.431" personId="{FB322883-AC59-4354-A3C9-6FC54FE2166A}" id="{DAE742F6-E86D-732D-CDB4-752A693DDC25}">
    <xltc:text>M1: negotiated Crown obligation / compliance setting. H1 supports historical forms, not the exact amount.</xltc:text>
  </xltc:threadedComment>
  <xltc:threadedComment ref="F11" dT="2026-10-06T14:30:30.431" personId="{FB322883-AC59-4354-A3C9-6FC54FE2166A}" id="{56E99608-BF2C-77D4-4662-E9270683B7BC}">
    <xltc:text>M1: negotiated Crown obligation / compliance setting. H1 supports historical forms, not the exact amount.</xltc:text>
  </xltc:threadedComment>
  <xltc:threadedComment ref="B12" dT="2026-10-06T14:30:30.431" personId="{FB322883-AC59-4354-A3C9-6FC54FE2166A}" id="{1CEB4D27-02A4-FE56-C5CB-B7408028D9D0}">
    <xltc:text>M1: negotiated Crown obligation / compliance setting. H1 supports historical forms, not the exact amount.</xltc:text>
  </xltc:threadedComment>
  <xltc:threadedComment ref="C12" dT="2026-10-06T14:30:30.431" personId="{FB322883-AC59-4354-A3C9-6FC54FE2166A}" id="{F7CFD053-C3FB-9038-5CED-EAA3DAD6C6D7}">
    <xltc:text>M1: negotiated Crown obligation / compliance setting. H1 supports historical forms, not the exact amount.</xltc:text>
  </xltc:threadedComment>
  <xltc:threadedComment ref="D12" dT="2026-10-06T14:30:30.431" personId="{FB322883-AC59-4354-A3C9-6FC54FE2166A}" id="{DA6BE86B-3C01-DD30-F8F7-1BEF9665FFD0}">
    <xltc:text>M1: negotiated Crown obligation / compliance setting. H1 supports historical forms, not the exact amount.</xltc:text>
  </xltc:threadedComment>
  <xltc:threadedComment ref="F12" dT="2026-10-06T14:30:30.431" personId="{FB322883-AC59-4354-A3C9-6FC54FE2166A}" id="{5CE7E046-B8E9-4C2B-98A3-AAB764124EFA}">
    <xltc:text>M1: negotiated Crown obligation / compliance setting. H1 supports historical forms, not the exact amount.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5" dT="2026-10-06T14:30:30.431" personId="{FB322883-AC59-4354-A3C9-6FC54FE2166A}" id="{E462ED8B-113C-D922-FB02-22114039497D}">
    <xltc:text>M1: new central treasury expenditure allocation. Owned-business production costs already deducted from Income.</xltc:text>
  </xltc:threadedComment>
  <xltc:threadedComment ref="C5" dT="2026-10-06T14:30:30.431" personId="{FB322883-AC59-4354-A3C9-6FC54FE2166A}" id="{2008A866-C79F-EB59-77A8-C48DDFEE3C83}">
    <xltc:text>M1: new central treasury expenditure allocation. Owned-business production costs already deducted from Income.</xltc:text>
  </xltc:threadedComment>
  <xltc:threadedComment ref="D5" dT="2026-10-06T14:30:30.431" personId="{FB322883-AC59-4354-A3C9-6FC54FE2166A}" id="{AE200CB7-9C97-4848-EDEC-168BFB6758EB}">
    <xltc:text>M1: new central treasury expenditure allocation. Owned-business production costs already deducted from Income.</xltc:text>
  </xltc:threadedComment>
  <xltc:threadedComment ref="E5" dT="2026-10-06T14:30:30.431" personId="{FB322883-AC59-4354-A3C9-6FC54FE2166A}" id="{BF5F9AAB-24A1-EF11-9506-85E412218ED7}">
    <xltc:text>M1: new central treasury expenditure allocation. Owned-business production costs already deducted from Income.</xltc:text>
  </xltc:threadedComment>
  <xltc:threadedComment ref="F5" dT="2026-10-06T14:30:30.431" personId="{FB322883-AC59-4354-A3C9-6FC54FE2166A}" id="{0FD363DE-394E-69B3-61FB-FA541E9A09BA}">
    <xltc:text>M1: new central treasury expenditure allocation. Owned-business production costs already deducted from Income.</xltc:text>
  </xltc:threadedComment>
  <xltc:threadedComment ref="G5" dT="2026-10-06T14:30:30.431" personId="{FB322883-AC59-4354-A3C9-6FC54FE2166A}" id="{36946694-C5A3-6E41-F665-6FA2B57A81C9}">
    <xltc:text>M1: new central treasury expenditure allocation. Owned-business production costs already deducted from Income.</xltc:text>
  </xltc:threadedComment>
  <xltc:threadedComment ref="H5" dT="2026-10-06T14:30:30.431" personId="{FB322883-AC59-4354-A3C9-6FC54FE2166A}" id="{235A701F-20B2-0199-3F0A-A931B209B288}">
    <xltc:text>M1: new central treasury expenditure allocation. Owned-business production costs already deducted from Income.</xltc:text>
  </xltc:threadedComment>
  <xltc:threadedComment ref="M5" dT="2026-10-06T14:30:30.431" personId="{FB322883-AC59-4354-A3C9-6FC54FE2166A}" id="{42715B6B-07A5-5277-E140-70AA16F5D761}">
    <xltc:text>M1: new central treasury expenditure allocation. Owned-business production costs already deducted from Income.</xltc:text>
  </xltc:threadedComment>
  <xltc:threadedComment ref="B6" dT="2026-10-06T14:30:30.431" personId="{FB322883-AC59-4354-A3C9-6FC54FE2166A}" id="{1862CE08-60C3-EBE5-7288-60506DF0D300}">
    <xltc:text>M1: new central treasury expenditure allocation. Owned-business production costs already deducted from Income.</xltc:text>
  </xltc:threadedComment>
  <xltc:threadedComment ref="C6" dT="2026-10-06T14:30:30.431" personId="{FB322883-AC59-4354-A3C9-6FC54FE2166A}" id="{90323207-B97B-8727-2D2C-F46A93EAA241}">
    <xltc:text>M1: new central treasury expenditure allocation. Owned-business production costs already deducted from Income.</xltc:text>
  </xltc:threadedComment>
  <xltc:threadedComment ref="D6" dT="2026-10-06T14:30:30.431" personId="{FB322883-AC59-4354-A3C9-6FC54FE2166A}" id="{C6123FC4-C697-4DFF-5401-9FAE23E6AEA8}">
    <xltc:text>M1: new central treasury expenditure allocation. Owned-business production costs already deducted from Income.</xltc:text>
  </xltc:threadedComment>
  <xltc:threadedComment ref="E6" dT="2026-10-06T14:30:30.431" personId="{FB322883-AC59-4354-A3C9-6FC54FE2166A}" id="{B08F3E43-4A86-FA37-FB60-B85ABE52C14E}">
    <xltc:text>M1: new central treasury expenditure allocation. Owned-business production costs already deducted from Income.</xltc:text>
  </xltc:threadedComment>
  <xltc:threadedComment ref="F6" dT="2026-10-06T14:30:30.431" personId="{FB322883-AC59-4354-A3C9-6FC54FE2166A}" id="{17C934BE-7D1B-202E-8529-B6B86A8D6965}">
    <xltc:text>M1: new central treasury expenditure allocation. Owned-business production costs already deducted from Income.</xltc:text>
  </xltc:threadedComment>
  <xltc:threadedComment ref="G6" dT="2026-10-06T14:30:30.431" personId="{FB322883-AC59-4354-A3C9-6FC54FE2166A}" id="{9FC1DD38-0C5A-36BF-FEAD-17E36576A188}">
    <xltc:text>M1: new central treasury expenditure allocation. Owned-business production costs already deducted from Income.</xltc:text>
  </xltc:threadedComment>
  <xltc:threadedComment ref="H6" dT="2026-10-06T14:30:30.431" personId="{FB322883-AC59-4354-A3C9-6FC54FE2166A}" id="{0E4893CB-74A4-5D51-64BD-3A38BFA5B3BB}">
    <xltc:text>M1: new central treasury expenditure allocation. Owned-business production costs already deducted from Income.</xltc:text>
  </xltc:threadedComment>
  <xltc:threadedComment ref="M6" dT="2026-10-06T14:30:30.431" personId="{FB322883-AC59-4354-A3C9-6FC54FE2166A}" id="{4F4F367C-72FE-C7D6-95E0-540D76F61426}">
    <xltc:text>M1: new central treasury expenditure allocation. Owned-business production costs already deducted from Income.</xltc:text>
  </xltc:threadedComment>
  <xltc:threadedComment ref="B7" dT="2026-10-06T14:30:30.431" personId="{FB322883-AC59-4354-A3C9-6FC54FE2166A}" id="{3423AA18-1A81-A3DF-E225-32832BCC53D2}">
    <xltc:text>M1: new central treasury expenditure allocation. Owned-business production costs already deducted from Income.</xltc:text>
  </xltc:threadedComment>
  <xltc:threadedComment ref="C7" dT="2026-10-06T14:30:30.431" personId="{FB322883-AC59-4354-A3C9-6FC54FE2166A}" id="{1198D20D-5B0B-3AF5-DEF4-F8D5A4F9AF1F}">
    <xltc:text>M1: new central treasury expenditure allocation. Owned-business production costs already deducted from Income.</xltc:text>
  </xltc:threadedComment>
  <xltc:threadedComment ref="D7" dT="2026-10-06T14:30:30.431" personId="{FB322883-AC59-4354-A3C9-6FC54FE2166A}" id="{CE27EA9A-BFB7-BD09-3709-7B68FAF89D20}">
    <xltc:text>M1: new central treasury expenditure allocation. Owned-business production costs already deducted from Income.</xltc:text>
  </xltc:threadedComment>
  <xltc:threadedComment ref="E7" dT="2026-10-06T14:30:30.431" personId="{FB322883-AC59-4354-A3C9-6FC54FE2166A}" id="{E9202541-9D3A-3B90-EA23-1AAEF9674227}">
    <xltc:text>M1: new central treasury expenditure allocation. Owned-business production costs already deducted from Income.</xltc:text>
  </xltc:threadedComment>
  <xltc:threadedComment ref="F7" dT="2026-10-06T14:30:30.431" personId="{FB322883-AC59-4354-A3C9-6FC54FE2166A}" id="{EACE8557-2E19-CD0C-404F-68A2CC90A656}">
    <xltc:text>M1: new central treasury expenditure allocation. Owned-business production costs already deducted from Income.</xltc:text>
  </xltc:threadedComment>
  <xltc:threadedComment ref="G7" dT="2026-10-06T14:30:30.431" personId="{FB322883-AC59-4354-A3C9-6FC54FE2166A}" id="{E0403B2E-9346-1107-BFFF-EC1420C79936}">
    <xltc:text>M1: new central treasury expenditure allocation. Owned-business production costs already deducted from Income.</xltc:text>
  </xltc:threadedComment>
  <xltc:threadedComment ref="H7" dT="2026-10-06T14:30:30.431" personId="{FB322883-AC59-4354-A3C9-6FC54FE2166A}" id="{EC0EA4A5-A4D1-EB81-36AD-432529277CB0}">
    <xltc:text>M1: new central treasury expenditure allocation. Owned-business production costs already deducted from Income.</xltc:text>
  </xltc:threadedComment>
  <xltc:threadedComment ref="M7" dT="2026-10-06T14:30:30.431" personId="{FB322883-AC59-4354-A3C9-6FC54FE2166A}" id="{DB5B4834-32B5-20EB-AF25-F89B78813EC6}">
    <xltc:text>M1: new central treasury expenditure allocation. Owned-business production costs already deducted from Income.</xltc:text>
  </xltc:threadedComment>
  <xltc:threadedComment ref="B8" dT="2026-10-06T14:30:30.431" personId="{FB322883-AC59-4354-A3C9-6FC54FE2166A}" id="{97536B90-6550-B13A-CD48-8CC0992D10AF}">
    <xltc:text>M1: new central treasury expenditure allocation. Owned-business production costs already deducted from Income.</xltc:text>
  </xltc:threadedComment>
  <xltc:threadedComment ref="C8" dT="2026-10-06T14:30:30.431" personId="{FB322883-AC59-4354-A3C9-6FC54FE2166A}" id="{B7132259-6994-9326-A66C-33D872087566}">
    <xltc:text>M1: new central treasury expenditure allocation. Owned-business production costs already deducted from Income.</xltc:text>
  </xltc:threadedComment>
  <xltc:threadedComment ref="D8" dT="2026-10-06T14:30:30.431" personId="{FB322883-AC59-4354-A3C9-6FC54FE2166A}" id="{555A9C84-5CC2-AA4C-99E0-0BD06C00DFB1}">
    <xltc:text>M1: new central treasury expenditure allocation. Owned-business production costs already deducted from Income.</xltc:text>
  </xltc:threadedComment>
  <xltc:threadedComment ref="E8" dT="2026-10-06T14:30:30.431" personId="{FB322883-AC59-4354-A3C9-6FC54FE2166A}" id="{4B622F5A-8645-C33A-74AC-D2F6E0C3F6C7}">
    <xltc:text>M1: new central treasury expenditure allocation. Owned-business production costs already deducted from Income.</xltc:text>
  </xltc:threadedComment>
  <xltc:threadedComment ref="F8" dT="2026-10-06T14:30:30.431" personId="{FB322883-AC59-4354-A3C9-6FC54FE2166A}" id="{4FD19215-9FCA-A671-B963-E499E110C8EC}">
    <xltc:text>M1: new central treasury expenditure allocation. Owned-business production costs already deducted from Income.</xltc:text>
  </xltc:threadedComment>
  <xltc:threadedComment ref="G8" dT="2026-10-06T14:30:30.431" personId="{FB322883-AC59-4354-A3C9-6FC54FE2166A}" id="{D6B5944F-DC0A-A3DC-90F2-2CF6582101E0}">
    <xltc:text>M1: new central treasury expenditure allocation. Owned-business production costs already deducted from Income.</xltc:text>
  </xltc:threadedComment>
  <xltc:threadedComment ref="H8" dT="2026-10-06T14:30:30.431" personId="{FB322883-AC59-4354-A3C9-6FC54FE2166A}" id="{18E11D9A-BC60-E05D-75C1-041D5C7833B1}">
    <xltc:text>M1: new central treasury expenditure allocation. Owned-business production costs already deducted from Income.</xltc:text>
  </xltc:threadedComment>
  <xltc:threadedComment ref="M8" dT="2026-10-06T14:30:30.431" personId="{FB322883-AC59-4354-A3C9-6FC54FE2166A}" id="{C08C3FB0-90E9-78E0-0858-AFE3C813A040}">
    <xltc:text>M1: new central treasury expenditure allocation. Owned-business production costs already deducted from Income.</xltc:text>
  </xltc:threadedComment>
  <xltc:threadedComment ref="B9" dT="2026-10-06T14:30:30.431" personId="{FB322883-AC59-4354-A3C9-6FC54FE2166A}" id="{DD93FAF7-1942-3476-B453-C73AED22E632}">
    <xltc:text>M1: new central treasury expenditure allocation. Owned-business production costs already deducted from Income.</xltc:text>
  </xltc:threadedComment>
  <xltc:threadedComment ref="C9" dT="2026-10-06T14:30:30.431" personId="{FB322883-AC59-4354-A3C9-6FC54FE2166A}" id="{E5FDCB74-7D90-7CB9-B3A3-325B2B5BECD2}">
    <xltc:text>M1: new central treasury expenditure allocation. Owned-business production costs already deducted from Income.</xltc:text>
  </xltc:threadedComment>
  <xltc:threadedComment ref="D9" dT="2026-10-06T14:30:30.431" personId="{FB322883-AC59-4354-A3C9-6FC54FE2166A}" id="{BA616AD5-AB47-7C2F-0A45-79BFED2C8B9D}">
    <xltc:text>M1: new central treasury expenditure allocation. Owned-business production costs already deducted from Income.</xltc:text>
  </xltc:threadedComment>
  <xltc:threadedComment ref="E9" dT="2026-10-06T14:30:30.431" personId="{FB322883-AC59-4354-A3C9-6FC54FE2166A}" id="{88326C5B-3447-90DA-4F90-31BB1EDF7C9E}">
    <xltc:text>M1: new central treasury expenditure allocation. Owned-business production costs already deducted from Income.</xltc:text>
  </xltc:threadedComment>
  <xltc:threadedComment ref="F9" dT="2026-10-06T14:30:30.431" personId="{FB322883-AC59-4354-A3C9-6FC54FE2166A}" id="{31D18C05-CA01-555D-58BB-3B33B847E2C8}">
    <xltc:text>M1: new central treasury expenditure allocation. Owned-business production costs already deducted from Income.</xltc:text>
  </xltc:threadedComment>
  <xltc:threadedComment ref="G9" dT="2026-10-06T14:30:30.431" personId="{FB322883-AC59-4354-A3C9-6FC54FE2166A}" id="{839CB537-979D-7153-71AE-4FAA3B4F5FDA}">
    <xltc:text>M1: new central treasury expenditure allocation. Owned-business production costs already deducted from Income.</xltc:text>
  </xltc:threadedComment>
  <xltc:threadedComment ref="H9" dT="2026-10-06T14:30:30.431" personId="{FB322883-AC59-4354-A3C9-6FC54FE2166A}" id="{38941B0A-462E-FB33-7BBB-BEEB5794D504}">
    <xltc:text>M1: new central treasury expenditure allocation. Owned-business production costs already deducted from Income.</xltc:text>
  </xltc:threadedComment>
  <xltc:threadedComment ref="M9" dT="2026-10-06T14:30:30.431" personId="{FB322883-AC59-4354-A3C9-6FC54FE2166A}" id="{5B74D95D-4F28-1596-CBB9-0EBDC0BC90C1}">
    <xltc:text>M1: new central treasury expenditure allocation. Owned-business production costs already deducted from Income.</xltc:text>
  </xltc:threadedComment>
  <xltc:threadedComment ref="B10" dT="2026-10-06T14:30:30.431" personId="{FB322883-AC59-4354-A3C9-6FC54FE2166A}" id="{90027038-C349-76FF-3009-DA2FBDE8B93B}">
    <xltc:text>M1: new central treasury expenditure allocation. Owned-business production costs already deducted from Income.</xltc:text>
  </xltc:threadedComment>
  <xltc:threadedComment ref="C10" dT="2026-10-06T14:30:30.431" personId="{FB322883-AC59-4354-A3C9-6FC54FE2166A}" id="{5AAB83D2-5612-09CB-E8F4-BCD61AE5FB92}">
    <xltc:text>M1: new central treasury expenditure allocation. Owned-business production costs already deducted from Income.</xltc:text>
  </xltc:threadedComment>
  <xltc:threadedComment ref="D10" dT="2026-10-06T14:30:30.431" personId="{FB322883-AC59-4354-A3C9-6FC54FE2166A}" id="{DC6C5F58-2E70-2A2D-9347-3BA184112735}">
    <xltc:text>M1: new central treasury expenditure allocation. Owned-business production costs already deducted from Income.</xltc:text>
  </xltc:threadedComment>
  <xltc:threadedComment ref="E10" dT="2026-10-06T14:30:30.431" personId="{FB322883-AC59-4354-A3C9-6FC54FE2166A}" id="{0CD2C522-C64C-0D4F-CA36-A7E2472C81F1}">
    <xltc:text>M1: new central treasury expenditure allocation. Owned-business production costs already deducted from Income.</xltc:text>
  </xltc:threadedComment>
  <xltc:threadedComment ref="F10" dT="2026-10-06T14:30:30.431" personId="{FB322883-AC59-4354-A3C9-6FC54FE2166A}" id="{3007572B-34DA-13CA-8654-7A34521022D3}">
    <xltc:text>M1: new central treasury expenditure allocation. Owned-business production costs already deducted from Income.</xltc:text>
  </xltc:threadedComment>
  <xltc:threadedComment ref="G10" dT="2026-10-06T14:30:30.431" personId="{FB322883-AC59-4354-A3C9-6FC54FE2166A}" id="{5DC2A57F-E07E-C920-EEE2-7ADBBB9EC490}">
    <xltc:text>M1: new central treasury expenditure allocation. Owned-business production costs already deducted from Income.</xltc:text>
  </xltc:threadedComment>
  <xltc:threadedComment ref="H10" dT="2026-10-06T14:30:30.431" personId="{FB322883-AC59-4354-A3C9-6FC54FE2166A}" id="{8B12E0F5-A41A-277A-5E1C-A8F4DA399BD9}">
    <xltc:text>M1: new central treasury expenditure allocation. Owned-business production costs already deducted from Income.</xltc:text>
  </xltc:threadedComment>
  <xltc:threadedComment ref="M10" dT="2026-10-06T14:30:30.431" personId="{FB322883-AC59-4354-A3C9-6FC54FE2166A}" id="{44740C7A-6873-BF7F-D05B-3CC6B58A58D1}">
    <xltc:text>M1: new central treasury expenditure allocation. Owned-business production costs already deducted from Income.</xltc:text>
  </xltc:threadedComment>
  <xltc:threadedComment ref="B11" dT="2026-10-06T14:30:30.431" personId="{FB322883-AC59-4354-A3C9-6FC54FE2166A}" id="{D2B9F17A-224B-2203-D27A-00E53428ABAD}">
    <xltc:text>M1: new central treasury expenditure allocation. Owned-business production costs already deducted from Income.</xltc:text>
  </xltc:threadedComment>
  <xltc:threadedComment ref="C11" dT="2026-10-06T14:30:30.431" personId="{FB322883-AC59-4354-A3C9-6FC54FE2166A}" id="{A5028579-8688-5D79-667D-6BD57A199E65}">
    <xltc:text>M1: new central treasury expenditure allocation. Owned-business production costs already deducted from Income.</xltc:text>
  </xltc:threadedComment>
  <xltc:threadedComment ref="D11" dT="2026-10-06T14:30:30.431" personId="{FB322883-AC59-4354-A3C9-6FC54FE2166A}" id="{BC1FEECE-0C88-17D1-4629-22A8A0C9A4FC}">
    <xltc:text>M1: new central treasury expenditure allocation. Owned-business production costs already deducted from Income.</xltc:text>
  </xltc:threadedComment>
  <xltc:threadedComment ref="E11" dT="2026-10-06T14:30:30.431" personId="{FB322883-AC59-4354-A3C9-6FC54FE2166A}" id="{94B77B64-0A4A-707B-1421-ED87A4361271}">
    <xltc:text>M1: new central treasury expenditure allocation. Owned-business production costs already deducted from Income.</xltc:text>
  </xltc:threadedComment>
  <xltc:threadedComment ref="F11" dT="2026-10-06T14:30:30.431" personId="{FB322883-AC59-4354-A3C9-6FC54FE2166A}" id="{8B1DD0D1-F6E5-1026-9CFE-5EE73DFAE45A}">
    <xltc:text>M1: new central treasury expenditure allocation. Owned-business production costs already deducted from Income.</xltc:text>
  </xltc:threadedComment>
  <xltc:threadedComment ref="G11" dT="2026-10-06T14:30:30.431" personId="{FB322883-AC59-4354-A3C9-6FC54FE2166A}" id="{DD97CD7D-D15C-D7FA-06BB-0F1EEED36A89}">
    <xltc:text>M1: new central treasury expenditure allocation. Owned-business production costs already deducted from Income.</xltc:text>
  </xltc:threadedComment>
  <xltc:threadedComment ref="H11" dT="2026-10-06T14:30:30.431" personId="{FB322883-AC59-4354-A3C9-6FC54FE2166A}" id="{BF1B0CFF-7178-FC0F-CBCE-DBE20F1E7721}">
    <xltc:text>M1: new central treasury expenditure allocation. Owned-business production costs already deducted from Income.</xltc:text>
  </xltc:threadedComment>
  <xltc:threadedComment ref="M11" dT="2026-10-06T14:30:30.431" personId="{FB322883-AC59-4354-A3C9-6FC54FE2166A}" id="{1F74D222-4AE4-7FC4-D934-C7500EBF274B}">
    <xltc:text>M1: new central treasury expenditure allocation. Owned-business production costs already deducted from Income.</xltc:text>
  </xltc:threadedComment>
  <xltc:threadedComment ref="B12" dT="2026-10-06T14:30:30.431" personId="{FB322883-AC59-4354-A3C9-6FC54FE2166A}" id="{8B8A15D1-1CA8-4B57-DE6F-A4E265377E31}">
    <xltc:text>M1: new central treasury expenditure allocation. Owned-business production costs already deducted from Income.</xltc:text>
  </xltc:threadedComment>
  <xltc:threadedComment ref="C12" dT="2026-10-06T14:30:30.431" personId="{FB322883-AC59-4354-A3C9-6FC54FE2166A}" id="{7E7D7C37-2980-2C0D-9AD7-3126A4738998}">
    <xltc:text>M1: new central treasury expenditure allocation. Owned-business production costs already deducted from Income.</xltc:text>
  </xltc:threadedComment>
  <xltc:threadedComment ref="D12" dT="2026-10-06T14:30:30.431" personId="{FB322883-AC59-4354-A3C9-6FC54FE2166A}" id="{6397250E-6167-85C7-2072-CE6736435572}">
    <xltc:text>M1: new central treasury expenditure allocation. Owned-business production costs already deducted from Income.</xltc:text>
  </xltc:threadedComment>
  <xltc:threadedComment ref="E12" dT="2026-10-06T14:30:30.431" personId="{FB322883-AC59-4354-A3C9-6FC54FE2166A}" id="{1C9A4E4A-29B2-533E-96EF-E1ADF555D239}">
    <xltc:text>M1: new central treasury expenditure allocation. Owned-business production costs already deducted from Income.</xltc:text>
  </xltc:threadedComment>
  <xltc:threadedComment ref="F12" dT="2026-10-06T14:30:30.431" personId="{FB322883-AC59-4354-A3C9-6FC54FE2166A}" id="{024B5A01-A437-2905-0DA5-6C5507B631EA}">
    <xltc:text>M1: new central treasury expenditure allocation. Owned-business production costs already deducted from Income.</xltc:text>
  </xltc:threadedComment>
  <xltc:threadedComment ref="G12" dT="2026-10-06T14:30:30.431" personId="{FB322883-AC59-4354-A3C9-6FC54FE2166A}" id="{2F4AEE17-8CCA-67C7-ED8D-A2EC3312928E}">
    <xltc:text>M1: new central treasury expenditure allocation. Owned-business production costs already deducted from Income.</xltc:text>
  </xltc:threadedComment>
  <xltc:threadedComment ref="H12" dT="2026-10-06T14:30:30.431" personId="{FB322883-AC59-4354-A3C9-6FC54FE2166A}" id="{A82734A9-3ABA-7A44-DC38-E17B139ECA96}">
    <xltc:text>M1: new central treasury expenditure allocation. Owned-business production costs already deducted from Income.</xltc:text>
  </xltc:threadedComment>
  <xltc:threadedComment ref="M12" dT="2026-10-06T14:30:30.431" personId="{FB322883-AC59-4354-A3C9-6FC54FE2166A}" id="{CD1D8337-B644-5585-9719-084B96512E1E}">
    <xltc:text>M1: new central treasury expenditure allocation. Owned-business production costs already deducted from Income.</xltc:text>
  </xltc:threadedComment>
  <xltc:threadedComment ref="B13" dT="2026-10-06T14:30:30.431" personId="{FB322883-AC59-4354-A3C9-6FC54FE2166A}" id="{A2EBEA9F-6A89-070D-59A8-9C5B7B45E0D8}">
    <xltc:text>M1: new central treasury expenditure allocation. Owned-business production costs already deducted from Income.</xltc:text>
  </xltc:threadedComment>
  <xltc:threadedComment ref="C13" dT="2026-10-06T14:30:30.431" personId="{FB322883-AC59-4354-A3C9-6FC54FE2166A}" id="{E22380E8-DE84-F1EB-2FBD-CE84ACF892E4}">
    <xltc:text>M1: new central treasury expenditure allocation. Owned-business production costs already deducted from Income.</xltc:text>
  </xltc:threadedComment>
  <xltc:threadedComment ref="D13" dT="2026-10-06T14:30:30.431" personId="{FB322883-AC59-4354-A3C9-6FC54FE2166A}" id="{75667B6C-544B-0A63-E69F-F4427D600987}">
    <xltc:text>M1: new central treasury expenditure allocation. Owned-business production costs already deducted from Income.</xltc:text>
  </xltc:threadedComment>
  <xltc:threadedComment ref="E13" dT="2026-10-06T14:30:30.431" personId="{FB322883-AC59-4354-A3C9-6FC54FE2166A}" id="{50A0C416-F998-31EF-2B5B-258EC743B2EB}">
    <xltc:text>M1: new central treasury expenditure allocation. Owned-business production costs already deducted from Income.</xltc:text>
  </xltc:threadedComment>
  <xltc:threadedComment ref="F13" dT="2026-10-06T14:30:30.431" personId="{FB322883-AC59-4354-A3C9-6FC54FE2166A}" id="{5B77FBF9-2BEA-9A59-EFAF-7C49B10423EA}">
    <xltc:text>M1: new central treasury expenditure allocation. Owned-business production costs already deducted from Income.</xltc:text>
  </xltc:threadedComment>
  <xltc:threadedComment ref="G13" dT="2026-10-06T14:30:30.431" personId="{FB322883-AC59-4354-A3C9-6FC54FE2166A}" id="{951FCCE7-F66A-2DF9-C768-7C1760879434}">
    <xltc:text>M1: new central treasury expenditure allocation. Owned-business production costs already deducted from Income.</xltc:text>
  </xltc:threadedComment>
  <xltc:threadedComment ref="H13" dT="2026-10-06T14:30:30.431" personId="{FB322883-AC59-4354-A3C9-6FC54FE2166A}" id="{F9B6F117-000E-4ED3-F49E-BAA7B12E19FC}">
    <xltc:text>M1: new central treasury expenditure allocation. Owned-business production costs already deducted from Income.</xltc:text>
  </xltc:threadedComment>
  <xltc:threadedComment ref="M13" dT="2026-10-06T14:30:30.431" personId="{FB322883-AC59-4354-A3C9-6FC54FE2166A}" id="{02C89608-FE95-33F3-7EDF-499331733C1F}">
    <xltc:text>M1: new central treasury expenditure allocation. Owned-business production costs already deducted from Income.</xltc:text>
  </xltc:threadedComment>
  <xltc:threadedComment ref="B5" dT="2026-10-06T15:59:23.995" personId="{25DF97B0-CF0A-4315-97A5-EDD1D2A9B51B}" id="{9ABCA4FA-3B15-D24A-A1D0-0486104F6B0C}">
    <xltc:text>M3: recalibrated CASH expenditure only. Separately tracked goods used are not included a second time.</xltc:text>
  </xltc:threadedComment>
  <xltc:threadedComment ref="C5" dT="2026-10-06T15:59:23.995" personId="{25DF97B0-CF0A-4315-97A5-EDD1D2A9B51B}" id="{4F219A90-8D6E-532A-5614-41E1D198A3F8}">
    <xltc:text>M3: recalibrated CASH expenditure only. Separately tracked goods used are not included a second time.</xltc:text>
  </xltc:threadedComment>
  <xltc:threadedComment ref="D5" dT="2026-10-06T15:59:23.995" personId="{25DF97B0-CF0A-4315-97A5-EDD1D2A9B51B}" id="{D722AD6E-BFB9-F630-9A7C-6DF22922DAF5}">
    <xltc:text>M3: recalibrated CASH expenditure only. Separately tracked goods used are not included a second time.</xltc:text>
  </xltc:threadedComment>
  <xltc:threadedComment ref="E5" dT="2026-10-06T15:59:23.995" personId="{25DF97B0-CF0A-4315-97A5-EDD1D2A9B51B}" id="{DF12B803-02BB-2D6E-184C-B037B603E9ED}">
    <xltc:text>M3: recalibrated CASH expenditure only. Separately tracked goods used are not included a second time.</xltc:text>
  </xltc:threadedComment>
  <xltc:threadedComment ref="F5" dT="2026-10-06T15:59:23.995" personId="{25DF97B0-CF0A-4315-97A5-EDD1D2A9B51B}" id="{AD146B40-7D2C-C15A-AB9B-1E3DE5C16FF0}">
    <xltc:text>M3: recalibrated CASH expenditure only. Separately tracked goods used are not included a second time.</xltc:text>
  </xltc:threadedComment>
  <xltc:threadedComment ref="G5" dT="2026-10-06T15:59:23.995" personId="{25DF97B0-CF0A-4315-97A5-EDD1D2A9B51B}" id="{988FDA43-7EFF-B993-EA30-68C7F4FCA063}">
    <xltc:text>M3: recalibrated CASH expenditure only. Separately tracked goods used are not included a second time.</xltc:text>
  </xltc:threadedComment>
  <xltc:threadedComment ref="H5" dT="2026-10-06T15:59:23.995" personId="{25DF97B0-CF0A-4315-97A5-EDD1D2A9B51B}" id="{6876B95C-E717-8916-3C62-C348B21A5D9D}">
    <xltc:text>M3: recalibrated CASH expenditure only. Separately tracked goods used are not included a second time.</xltc:text>
  </xltc:threadedComment>
  <xltc:threadedComment ref="B6" dT="2026-10-06T15:59:23.996" personId="{25DF97B0-CF0A-4315-97A5-EDD1D2A9B51B}" id="{8AB54556-5C1F-7414-CD76-A755068E8316}">
    <xltc:text>M3: recalibrated CASH expenditure only. Separately tracked goods used are not included a second time.</xltc:text>
  </xltc:threadedComment>
  <xltc:threadedComment ref="C6" dT="2026-10-06T15:59:23.996" personId="{25DF97B0-CF0A-4315-97A5-EDD1D2A9B51B}" id="{12086155-34F2-8C03-0F18-0622AE84DD13}">
    <xltc:text>M3: recalibrated CASH expenditure only. Separately tracked goods used are not included a second time.</xltc:text>
  </xltc:threadedComment>
  <xltc:threadedComment ref="D6" dT="2026-10-06T15:59:23.996" personId="{25DF97B0-CF0A-4315-97A5-EDD1D2A9B51B}" id="{1A137C48-4E03-DB33-4ACA-257AE49431DE}">
    <xltc:text>M3: recalibrated CASH expenditure only. Separately tracked goods used are not included a second time.</xltc:text>
  </xltc:threadedComment>
  <xltc:threadedComment ref="E6" dT="2026-10-06T15:59:23.996" personId="{25DF97B0-CF0A-4315-97A5-EDD1D2A9B51B}" id="{30DD45FC-34E7-BC95-E1F9-9EA1F40B8A7D}">
    <xltc:text>M3: recalibrated CASH expenditure only. Separately tracked goods used are not included a second time.</xltc:text>
  </xltc:threadedComment>
  <xltc:threadedComment ref="F6" dT="2026-10-06T15:59:23.996" personId="{25DF97B0-CF0A-4315-97A5-EDD1D2A9B51B}" id="{A6910111-AC77-CDD3-5629-65D6E620BA34}">
    <xltc:text>M3: recalibrated CASH expenditure only. Separately tracked goods used are not included a second time.</xltc:text>
  </xltc:threadedComment>
  <xltc:threadedComment ref="G6" dT="2026-10-06T15:59:23.996" personId="{25DF97B0-CF0A-4315-97A5-EDD1D2A9B51B}" id="{9BF8F6A1-5CC3-D3F6-072B-B67D9A350437}">
    <xltc:text>M3: recalibrated CASH expenditure only. Separately tracked goods used are not included a second time.</xltc:text>
  </xltc:threadedComment>
  <xltc:threadedComment ref="H6" dT="2026-10-06T15:59:23.996" personId="{25DF97B0-CF0A-4315-97A5-EDD1D2A9B51B}" id="{5A67219E-E702-A80B-30A5-600F6A334215}">
    <xltc:text>M3: recalibrated CASH expenditure only. Separately tracked goods used are not included a second time.</xltc:text>
  </xltc:threadedComment>
  <xltc:threadedComment ref="B7" dT="2026-10-06T15:59:23.996" personId="{25DF97B0-CF0A-4315-97A5-EDD1D2A9B51B}" id="{6A700E85-5D5D-C99A-87B2-32AF8783A774}">
    <xltc:text>M3: recalibrated CASH expenditure only. Separately tracked goods used are not included a second time.</xltc:text>
  </xltc:threadedComment>
  <xltc:threadedComment ref="C7" dT="2026-10-06T15:59:23.996" personId="{25DF97B0-CF0A-4315-97A5-EDD1D2A9B51B}" id="{D7E6BDE5-FB37-8311-29DF-80CF29A73A9F}">
    <xltc:text>M3: recalibrated CASH expenditure only. Separately tracked goods used are not included a second time.</xltc:text>
  </xltc:threadedComment>
  <xltc:threadedComment ref="D7" dT="2026-10-06T15:59:23.996" personId="{25DF97B0-CF0A-4315-97A5-EDD1D2A9B51B}" id="{490458BD-E172-DB4A-D483-39B2A1AF6A93}">
    <xltc:text>M3: recalibrated CASH expenditure only. Separately tracked goods used are not included a second time.</xltc:text>
  </xltc:threadedComment>
  <xltc:threadedComment ref="E7" dT="2026-10-06T15:59:23.996" personId="{25DF97B0-CF0A-4315-97A5-EDD1D2A9B51B}" id="{2A6430A4-0237-0254-5A7A-7C19745E8B28}">
    <xltc:text>M3: recalibrated CASH expenditure only. Separately tracked goods used are not included a second time.</xltc:text>
  </xltc:threadedComment>
  <xltc:threadedComment ref="F7" dT="2026-10-06T15:59:23.996" personId="{25DF97B0-CF0A-4315-97A5-EDD1D2A9B51B}" id="{F3216610-CA2E-8599-FCB4-9BB8E842DF67}">
    <xltc:text>M3: recalibrated CASH expenditure only. Separately tracked goods used are not included a second time.</xltc:text>
  </xltc:threadedComment>
  <xltc:threadedComment ref="G7" dT="2026-10-06T15:59:23.996" personId="{25DF97B0-CF0A-4315-97A5-EDD1D2A9B51B}" id="{B780EBF1-930F-6F07-F9E7-ACD14E5B3189}">
    <xltc:text>M3: recalibrated CASH expenditure only. Separately tracked goods used are not included a second time.</xltc:text>
  </xltc:threadedComment>
  <xltc:threadedComment ref="H7" dT="2026-10-06T15:59:23.996" personId="{25DF97B0-CF0A-4315-97A5-EDD1D2A9B51B}" id="{94075FFC-C71B-2A9C-B8A1-6C235450ED9D}">
    <xltc:text>M3: recalibrated CASH expenditure only. Separately tracked goods used are not included a second time.</xltc:text>
  </xltc:threadedComment>
  <xltc:threadedComment ref="B8" dT="2026-10-06T15:59:23.996" personId="{25DF97B0-CF0A-4315-97A5-EDD1D2A9B51B}" id="{E10A83E4-8B3B-5C2E-8872-3DA0665EB057}">
    <xltc:text>M3: recalibrated CASH expenditure only. Separately tracked goods used are not included a second time.</xltc:text>
  </xltc:threadedComment>
  <xltc:threadedComment ref="C8" dT="2026-10-06T15:59:23.996" personId="{25DF97B0-CF0A-4315-97A5-EDD1D2A9B51B}" id="{D3CCD770-10A4-A66C-DC79-83A8E539B3D0}">
    <xltc:text>M3: recalibrated CASH expenditure only. Separately tracked goods used are not included a second time.</xltc:text>
  </xltc:threadedComment>
  <xltc:threadedComment ref="D8" dT="2026-10-06T15:59:23.996" personId="{25DF97B0-CF0A-4315-97A5-EDD1D2A9B51B}" id="{BBF1CA1B-2ABE-533C-8121-7D916D451F2A}">
    <xltc:text>M3: recalibrated CASH expenditure only. Separately tracked goods used are not included a second time.</xltc:text>
  </xltc:threadedComment>
  <xltc:threadedComment ref="E8" dT="2026-10-06T15:59:23.996" personId="{25DF97B0-CF0A-4315-97A5-EDD1D2A9B51B}" id="{317767FA-80A9-4A98-B643-43805C33DF4F}">
    <xltc:text>M3: recalibrated CASH expenditure only. Separately tracked goods used are not included a second time.</xltc:text>
  </xltc:threadedComment>
  <xltc:threadedComment ref="F8" dT="2026-10-06T15:59:23.997" personId="{25DF97B0-CF0A-4315-97A5-EDD1D2A9B51B}" id="{9D8784F9-1400-FF84-1CDD-3B5F8240A9FF}">
    <xltc:text>M3: recalibrated CASH expenditure only. Separately tracked goods used are not included a second time.</xltc:text>
  </xltc:threadedComment>
  <xltc:threadedComment ref="G8" dT="2026-10-06T15:59:23.997" personId="{25DF97B0-CF0A-4315-97A5-EDD1D2A9B51B}" id="{4F7B0345-BB7E-E1AD-2DAD-587395197B6B}">
    <xltc:text>M3: recalibrated CASH expenditure only. Separately tracked goods used are not included a second time.</xltc:text>
  </xltc:threadedComment>
  <xltc:threadedComment ref="H8" dT="2026-10-06T15:59:23.997" personId="{25DF97B0-CF0A-4315-97A5-EDD1D2A9B51B}" id="{11196C41-AE1F-8673-70F6-046255AF8F97}">
    <xltc:text>M3: recalibrated CASH expenditure only. Separately tracked goods used are not included a second time.</xltc:text>
  </xltc:threadedComment>
  <xltc:threadedComment ref="B9" dT="2026-10-06T15:59:23.997" personId="{25DF97B0-CF0A-4315-97A5-EDD1D2A9B51B}" id="{14AB4C0A-A972-6756-69BE-41965B60EF11}">
    <xltc:text>M3: recalibrated CASH expenditure only. Separately tracked goods used are not included a second time.</xltc:text>
  </xltc:threadedComment>
  <xltc:threadedComment ref="C9" dT="2026-10-06T15:59:23.997" personId="{25DF97B0-CF0A-4315-97A5-EDD1D2A9B51B}" id="{68AE6CB6-CBBB-698F-ADA2-02D675AFCE0E}">
    <xltc:text>M3: recalibrated CASH expenditure only. Separately tracked goods used are not included a second time.</xltc:text>
  </xltc:threadedComment>
  <xltc:threadedComment ref="D9" dT="2026-10-06T15:59:23.997" personId="{25DF97B0-CF0A-4315-97A5-EDD1D2A9B51B}" id="{F40EF61B-6264-3033-100E-716BCAA038EE}">
    <xltc:text>M3: recalibrated CASH expenditure only. Separately tracked goods used are not included a second time.</xltc:text>
  </xltc:threadedComment>
  <xltc:threadedComment ref="E9" dT="2026-10-06T15:59:23.997" personId="{25DF97B0-CF0A-4315-97A5-EDD1D2A9B51B}" id="{86EDD612-2C7C-9A78-A62A-E1393745C25B}">
    <xltc:text>M3: recalibrated CASH expenditure only. Separately tracked goods used are not included a second time.</xltc:text>
  </xltc:threadedComment>
  <xltc:threadedComment ref="F9" dT="2026-10-06T15:59:23.997" personId="{25DF97B0-CF0A-4315-97A5-EDD1D2A9B51B}" id="{AEFE865E-13B5-0FB1-17C3-6D86CEEBEA2B}">
    <xltc:text>M3: recalibrated CASH expenditure only. Separately tracked goods used are not included a second time.</xltc:text>
  </xltc:threadedComment>
  <xltc:threadedComment ref="G9" dT="2026-10-06T15:59:23.997" personId="{25DF97B0-CF0A-4315-97A5-EDD1D2A9B51B}" id="{2A9B6D6F-EADB-EC55-F558-883A5E059206}">
    <xltc:text>M3: recalibrated CASH expenditure only. Separately tracked goods used are not included a second time.</xltc:text>
  </xltc:threadedComment>
  <xltc:threadedComment ref="H9" dT="2026-10-06T15:59:23.997" personId="{25DF97B0-CF0A-4315-97A5-EDD1D2A9B51B}" id="{330B3F62-D5F1-5F66-0FB8-254990838C3F}">
    <xltc:text>M3: recalibrated CASH expenditure only. Separately tracked goods used are not included a second time.</xltc:text>
  </xltc:threadedComment>
  <xltc:threadedComment ref="B10" dT="2026-10-06T15:59:23.997" personId="{25DF97B0-CF0A-4315-97A5-EDD1D2A9B51B}" id="{A2168415-DF8E-94AC-0002-6495DAA55095}">
    <xltc:text>M3: recalibrated CASH expenditure only. Separately tracked goods used are not included a second time.</xltc:text>
  </xltc:threadedComment>
  <xltc:threadedComment ref="C10" dT="2026-10-06T15:59:23.997" personId="{25DF97B0-CF0A-4315-97A5-EDD1D2A9B51B}" id="{689DDD42-F60E-FFD3-51D8-9583CB675267}">
    <xltc:text>M3: recalibrated CASH expenditure only. Separately tracked goods used are not included a second time.</xltc:text>
  </xltc:threadedComment>
  <xltc:threadedComment ref="D10" dT="2026-10-06T15:59:23.997" personId="{25DF97B0-CF0A-4315-97A5-EDD1D2A9B51B}" id="{12C20112-0312-FBE5-2568-A356BF19E4D9}">
    <xltc:text>M3: recalibrated CASH expenditure only. Separately tracked goods used are not included a second time.</xltc:text>
  </xltc:threadedComment>
  <xltc:threadedComment ref="E10" dT="2026-10-06T15:59:23.997" personId="{25DF97B0-CF0A-4315-97A5-EDD1D2A9B51B}" id="{CB924F69-22D6-5814-C099-0BED86E2F767}">
    <xltc:text>M3: recalibrated CASH expenditure only. Separately tracked goods used are not included a second time.</xltc:text>
  </xltc:threadedComment>
  <xltc:threadedComment ref="F10" dT="2026-10-06T15:59:23.997" personId="{25DF97B0-CF0A-4315-97A5-EDD1D2A9B51B}" id="{5F8643B3-51E5-103F-7832-E0902DD6AC0E}">
    <xltc:text>M3: recalibrated CASH expenditure only. Separately tracked goods used are not included a second time.</xltc:text>
  </xltc:threadedComment>
  <xltc:threadedComment ref="G10" dT="2026-10-06T15:59:23.997" personId="{25DF97B0-CF0A-4315-97A5-EDD1D2A9B51B}" id="{7130E503-0E48-AEE5-C6EE-D1B6D0C6B247}">
    <xltc:text>M3: recalibrated CASH expenditure only. Separately tracked goods used are not included a second time.</xltc:text>
  </xltc:threadedComment>
  <xltc:threadedComment ref="H10" dT="2026-10-06T15:59:23.997" personId="{25DF97B0-CF0A-4315-97A5-EDD1D2A9B51B}" id="{B9E16EF3-BF96-B37B-B9CC-2209C8C8F451}">
    <xltc:text>M3: recalibrated CASH expenditure only. Separately tracked goods used are not included a second time.</xltc:text>
  </xltc:threadedComment>
  <xltc:threadedComment ref="B11" dT="2026-10-06T15:59:23.997" personId="{25DF97B0-CF0A-4315-97A5-EDD1D2A9B51B}" id="{86A08827-69A9-5720-F48E-4BDA75EF49E8}">
    <xltc:text>M3: recalibrated CASH expenditure only. Separately tracked goods used are not included a second time.</xltc:text>
  </xltc:threadedComment>
  <xltc:threadedComment ref="C11" dT="2026-10-06T15:59:23.997" personId="{25DF97B0-CF0A-4315-97A5-EDD1D2A9B51B}" id="{276B6978-ADC1-6E06-3346-BE7D518D0611}">
    <xltc:text>M3: recalibrated CASH expenditure only. Separately tracked goods used are not included a second time.</xltc:text>
  </xltc:threadedComment>
  <xltc:threadedComment ref="D11" dT="2026-10-06T15:59:23.997" personId="{25DF97B0-CF0A-4315-97A5-EDD1D2A9B51B}" id="{5E5BBDAF-7E3A-106D-B597-1098FE43E601}">
    <xltc:text>M3: recalibrated CASH expenditure only. Separately tracked goods used are not included a second time.</xltc:text>
  </xltc:threadedComment>
  <xltc:threadedComment ref="E11" dT="2026-10-06T15:59:23.997" personId="{25DF97B0-CF0A-4315-97A5-EDD1D2A9B51B}" id="{9129C051-7F65-C7A0-8E92-DF1605E041F3}">
    <xltc:text>M3: recalibrated CASH expenditure only. Separately tracked goods used are not included a second time.</xltc:text>
  </xltc:threadedComment>
  <xltc:threadedComment ref="F11" dT="2026-10-06T15:59:23.997" personId="{25DF97B0-CF0A-4315-97A5-EDD1D2A9B51B}" id="{7DDDAA7F-E804-65DE-0536-36F6FE7CBA54}">
    <xltc:text>M3: recalibrated CASH expenditure only. Separately tracked goods used are not included a second time.</xltc:text>
  </xltc:threadedComment>
  <xltc:threadedComment ref="G11" dT="2026-10-06T15:59:23.997" personId="{25DF97B0-CF0A-4315-97A5-EDD1D2A9B51B}" id="{C4B7240F-8EEE-9732-574A-D2122A987FCB}">
    <xltc:text>M3: recalibrated CASH expenditure only. Separately tracked goods used are not included a second time.</xltc:text>
  </xltc:threadedComment>
  <xltc:threadedComment ref="H11" dT="2026-10-06T15:59:23.997" personId="{25DF97B0-CF0A-4315-97A5-EDD1D2A9B51B}" id="{1918FBB3-056F-38DE-3DE8-81C5D8681952}">
    <xltc:text>M3: recalibrated CASH expenditure only. Separately tracked goods used are not included a second time.</xltc:text>
  </xltc:threadedComment>
  <xltc:threadedComment ref="B12" dT="2026-10-06T15:59:23.997" personId="{25DF97B0-CF0A-4315-97A5-EDD1D2A9B51B}" id="{00999C33-DA18-474A-62C1-5BE44433FD78}">
    <xltc:text>M3: recalibrated CASH expenditure only. Separately tracked goods used are not included a second time.</xltc:text>
  </xltc:threadedComment>
  <xltc:threadedComment ref="C12" dT="2026-10-06T15:59:23.997" personId="{25DF97B0-CF0A-4315-97A5-EDD1D2A9B51B}" id="{2B51626F-53DD-6627-96AF-4F9AEF6D4E58}">
    <xltc:text>M3: recalibrated CASH expenditure only. Separately tracked goods used are not included a second time.</xltc:text>
  </xltc:threadedComment>
  <xltc:threadedComment ref="D12" dT="2026-10-06T15:59:23.997" personId="{25DF97B0-CF0A-4315-97A5-EDD1D2A9B51B}" id="{D3A69B63-DA13-2733-D048-C68B9DF2CE64}">
    <xltc:text>M3: recalibrated CASH expenditure only. Separately tracked goods used are not included a second time.</xltc:text>
  </xltc:threadedComment>
  <xltc:threadedComment ref="E12" dT="2026-10-06T15:59:23.997" personId="{25DF97B0-CF0A-4315-97A5-EDD1D2A9B51B}" id="{5782E9F2-4ADC-85D0-091D-A89017B82F49}">
    <xltc:text>M3: recalibrated CASH expenditure only. Separately tracked goods used are not included a second time.</xltc:text>
  </xltc:threadedComment>
  <xltc:threadedComment ref="F12" dT="2026-10-06T15:59:23.997" personId="{25DF97B0-CF0A-4315-97A5-EDD1D2A9B51B}" id="{26F3C28E-2348-7EF2-3D88-1EE4CD42707D}">
    <xltc:text>M3: recalibrated CASH expenditure only. Separately tracked goods used are not included a second time.</xltc:text>
  </xltc:threadedComment>
  <xltc:threadedComment ref="G12" dT="2026-10-06T15:59:23.997" personId="{25DF97B0-CF0A-4315-97A5-EDD1D2A9B51B}" id="{759F2E6F-5B9B-3C10-465E-987B949F72E1}">
    <xltc:text>M3: recalibrated CASH expenditure only. Separately tracked goods used are not included a second time.</xltc:text>
  </xltc:threadedComment>
  <xltc:threadedComment ref="H12" dT="2026-10-06T15:59:23.997" personId="{25DF97B0-CF0A-4315-97A5-EDD1D2A9B51B}" id="{A4EAA748-FB38-29F4-DA8E-1C823F5D1FFB}">
    <xltc:text>M3: recalibrated CASH expenditure only. Separately tracked goods used are not included a second time.</xltc:text>
  </xltc:threadedComment>
  <xltc:threadedComment ref="B13" dT="2026-10-06T15:59:23.998" personId="{25DF97B0-CF0A-4315-97A5-EDD1D2A9B51B}" id="{522DD4FD-A502-8288-019D-E99AE8F7CF17}">
    <xltc:text>M3: recalibrated CASH expenditure only. Separately tracked goods used are not included a second time.</xltc:text>
  </xltc:threadedComment>
  <xltc:threadedComment ref="C13" dT="2026-10-06T15:59:23.998" personId="{25DF97B0-CF0A-4315-97A5-EDD1D2A9B51B}" id="{B719F2AF-B869-5706-ACB0-9B1ED0C65934}">
    <xltc:text>M3: recalibrated CASH expenditure only. Separately tracked goods used are not included a second time.</xltc:text>
  </xltc:threadedComment>
  <xltc:threadedComment ref="D13" dT="2026-10-06T15:59:23.998" personId="{25DF97B0-CF0A-4315-97A5-EDD1D2A9B51B}" id="{DAD73CD7-B94F-EF81-37CF-BDD9EBFBC648}">
    <xltc:text>M3: recalibrated CASH expenditure only. Separately tracked goods used are not included a second time.</xltc:text>
  </xltc:threadedComment>
  <xltc:threadedComment ref="E13" dT="2026-10-06T15:59:23.998" personId="{25DF97B0-CF0A-4315-97A5-EDD1D2A9B51B}" id="{AD64800D-67F3-4E31-522E-309075E98F90}">
    <xltc:text>M3: recalibrated CASH expenditure only. Separately tracked goods used are not included a second time.</xltc:text>
  </xltc:threadedComment>
  <xltc:threadedComment ref="F13" dT="2026-10-06T15:59:23.998" personId="{25DF97B0-CF0A-4315-97A5-EDD1D2A9B51B}" id="{A406D42F-AE17-33AC-48C1-B076475D1A20}">
    <xltc:text>M3: recalibrated CASH expenditure only. Separately tracked goods used are not included a second time.</xltc:text>
  </xltc:threadedComment>
  <xltc:threadedComment ref="G13" dT="2026-10-06T15:59:23.998" personId="{25DF97B0-CF0A-4315-97A5-EDD1D2A9B51B}" id="{E080750D-A348-B091-DEE9-488ECD6995B0}">
    <xltc:text>M3: recalibrated CASH expenditure only. Separately tracked goods used are not included a second time.</xltc:text>
  </xltc:threadedComment>
  <xltc:threadedComment ref="H13" dT="2026-10-06T15:59:23.998" personId="{25DF97B0-CF0A-4315-97A5-EDD1D2A9B51B}" id="{2B4DCB7E-FE2B-0043-7101-7DF902C626CD}">
    <xltc:text>M3: recalibrated CASH expenditure only. Separately tracked goods used are not included a second time.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F5" dT="2026-10-06T14:30:30.431" personId="{FB322883-AC59-4354-A3C9-6FC54FE2166A}" id="{E6EB9B83-B1CA-C44F-B636-7B3461F73122}">
    <xltc:text>M1: financing scenario input; not ordinary income. New borrowing draws at the first turn.</xltc:text>
  </xltc:threadedComment>
  <xltc:threadedComment ref="H5" dT="2026-10-06T14:30:30.431" personId="{FB322883-AC59-4354-A3C9-6FC54FE2166A}" id="{32735103-2EE4-70D8-D753-2002E9BF4AA5}">
    <xltc:text>M1: financing scenario input; not ordinary income. New borrowing draws at the first turn.</xltc:text>
  </xltc:threadedComment>
  <xltc:threadedComment ref="F6" dT="2026-10-06T14:30:30.431" personId="{FB322883-AC59-4354-A3C9-6FC54FE2166A}" id="{73277636-4952-7363-2D7C-9B85AE084A7F}">
    <xltc:text>M1: financing scenario input; not ordinary income. New borrowing draws at the first turn.</xltc:text>
  </xltc:threadedComment>
  <xltc:threadedComment ref="H6" dT="2026-10-06T14:30:30.431" personId="{FB322883-AC59-4354-A3C9-6FC54FE2166A}" id="{8DFB62AF-E332-F0C6-40AD-86FF192AE2E3}">
    <xltc:text>M1: financing scenario input; not ordinary income. New borrowing draws at the first turn.</xltc:text>
  </xltc:threadedComment>
  <xltc:threadedComment ref="F7" dT="2026-10-06T14:30:30.431" personId="{FB322883-AC59-4354-A3C9-6FC54FE2166A}" id="{94DBFBBA-6706-3348-6EC8-D5060EDFFC44}">
    <xltc:text>M1: financing scenario input; not ordinary income. New borrowing draws at the first turn.</xltc:text>
  </xltc:threadedComment>
  <xltc:threadedComment ref="H7" dT="2026-10-06T14:30:30.431" personId="{FB322883-AC59-4354-A3C9-6FC54FE2166A}" id="{FF6694D8-57B7-EFD8-A3C3-09AC58FA09B9}">
    <xltc:text>M1: financing scenario input; not ordinary income. New borrowing draws at the first turn.</xltc:text>
  </xltc:threadedComment>
  <xltc:threadedComment ref="F8" dT="2026-10-06T14:30:30.431" personId="{FB322883-AC59-4354-A3C9-6FC54FE2166A}" id="{7F500082-1972-9148-5E5C-7B7D7977B186}">
    <xltc:text>M1: financing scenario input; not ordinary income. New borrowing draws at the first turn.</xltc:text>
  </xltc:threadedComment>
  <xltc:threadedComment ref="H8" dT="2026-10-06T14:30:30.431" personId="{FB322883-AC59-4354-A3C9-6FC54FE2166A}" id="{3E39C36D-1452-488A-589B-30F049853DF9}">
    <xltc:text>M1: financing scenario input; not ordinary income. New borrowing draws at the first turn.</xltc:text>
  </xltc:threadedComment>
  <xltc:threadedComment ref="F9" dT="2026-10-06T14:30:30.431" personId="{FB322883-AC59-4354-A3C9-6FC54FE2166A}" id="{C38AE69D-374B-7014-9150-E60183C88D67}">
    <xltc:text>M1: financing scenario input; not ordinary income. New borrowing draws at the first turn.</xltc:text>
  </xltc:threadedComment>
  <xltc:threadedComment ref="H9" dT="2026-10-06T14:30:30.431" personId="{FB322883-AC59-4354-A3C9-6FC54FE2166A}" id="{251B3658-6E2F-F353-0E3A-22563F4BCEA3}">
    <xltc:text>M1: financing scenario input; not ordinary income. New borrowing draws at the first turn.</xltc:text>
  </xltc:threadedComment>
  <xltc:threadedComment ref="F10" dT="2026-10-06T14:30:30.431" personId="{FB322883-AC59-4354-A3C9-6FC54FE2166A}" id="{63A9E952-075C-7E16-5B51-D41F537DC720}">
    <xltc:text>M1: financing scenario input; not ordinary income. New borrowing draws at the first turn.</xltc:text>
  </xltc:threadedComment>
  <xltc:threadedComment ref="H10" dT="2026-10-06T14:30:30.431" personId="{FB322883-AC59-4354-A3C9-6FC54FE2166A}" id="{0D2A305F-92A4-AE81-8669-2D7D90A411B8}">
    <xltc:text>M1: financing scenario input; not ordinary income. New borrowing draws at the first turn.</xltc:text>
  </xltc:threadedComment>
  <xltc:threadedComment ref="F11" dT="2026-10-06T14:30:30.432" personId="{FB322883-AC59-4354-A3C9-6FC54FE2166A}" id="{0C5D65B7-215E-A54B-2BD8-2E096C9674C0}">
    <xltc:text>M1: financing scenario input; not ordinary income. New borrowing draws at the first turn.</xltc:text>
  </xltc:threadedComment>
  <xltc:threadedComment ref="H11" dT="2026-10-06T14:30:30.432" personId="{FB322883-AC59-4354-A3C9-6FC54FE2166A}" id="{C575F6A5-3DF5-51CD-25B8-2A881FE22DF4}">
    <xltc:text>M1: financing scenario input; not ordinary income. New borrowing draws at the first turn.</xltc:text>
  </xltc:threadedComment>
  <xltc:threadedComment ref="F12" dT="2026-10-06T14:30:30.432" personId="{FB322883-AC59-4354-A3C9-6FC54FE2166A}" id="{91B7C8F4-9F84-B87E-C1AD-55C79F624490}">
    <xltc:text>M1: financing scenario input; not ordinary income. New borrowing draws at the first turn.</xltc:text>
  </xltc:threadedComment>
  <xltc:threadedComment ref="H12" dT="2026-10-06T14:30:30.432" personId="{FB322883-AC59-4354-A3C9-6FC54FE2166A}" id="{74379CFD-D3FE-2419-91DC-209153B3070A}">
    <xltc:text>M1: financing scenario input; not ordinary income. New borrowing draws at the first turn.</xltc:text>
  </xltc:threadedComment>
  <xltc:threadedComment ref="F13" dT="2026-10-06T14:30:30.432" personId="{FB322883-AC59-4354-A3C9-6FC54FE2166A}" id="{FDCD5E10-6259-0570-BC9B-6805712CA1B5}">
    <xltc:text>M1: financing scenario input; not ordinary income. New borrowing draws at the first turn.</xltc:text>
  </xltc:threadedComment>
  <xltc:threadedComment ref="H13" dT="2026-10-06T14:30:30.432" personId="{FB322883-AC59-4354-A3C9-6FC54FE2166A}" id="{BFBF346B-047D-169D-B222-0CC0C19F7C95}">
    <xltc:text>M1: financing scenario input; not ordinary income. New borrowing draws at the first turn.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C5" dT="2026-10-06T14:30:30.432" personId="{FB322883-AC59-4354-A3C9-6FC54FE2166A}" id="{6A790DB6-44FB-EE1B-6EE6-20F067AE74A6}">
    <xltc:text>M1/M2: fictional programme envelope, phase and maintenance assumption. No immediate guaranteed returns.</xltc:text>
  </xltc:threadedComment>
  <xltc:threadedComment ref="D5" dT="2026-10-06T14:30:30.432" personId="{FB322883-AC59-4354-A3C9-6FC54FE2166A}" id="{C25B73F4-A3A9-7A38-E30D-D6226B81A928}">
    <xltc:text>M1/M2: fictional programme envelope, phase and maintenance assumption. No immediate guaranteed returns.</xltc:text>
  </xltc:threadedComment>
  <xltc:threadedComment ref="E5" dT="2026-10-06T14:30:30.432" personId="{FB322883-AC59-4354-A3C9-6FC54FE2166A}" id="{7DCFBE40-A7BF-4732-487A-6C2CA5E422A4}">
    <xltc:text>M1/M2: fictional programme envelope, phase and maintenance assumption. No immediate guaranteed returns.</xltc:text>
  </xltc:threadedComment>
  <xltc:threadedComment ref="F5" dT="2026-10-06T14:30:30.432" personId="{FB322883-AC59-4354-A3C9-6FC54FE2166A}" id="{C709AC80-D36B-6F48-6DBD-1D0CD63EB105}">
    <xltc:text>M1/M2: fictional programme envelope, phase and maintenance assumption. No immediate guaranteed returns.</xltc:text>
  </xltc:threadedComment>
  <xltc:threadedComment ref="C6" dT="2026-10-06T14:30:30.432" personId="{FB322883-AC59-4354-A3C9-6FC54FE2166A}" id="{C0133126-32EA-7D90-215D-19F6D85AC955}">
    <xltc:text>M1/M2: fictional programme envelope, phase and maintenance assumption. No immediate guaranteed returns.</xltc:text>
  </xltc:threadedComment>
  <xltc:threadedComment ref="D6" dT="2026-10-06T14:30:30.432" personId="{FB322883-AC59-4354-A3C9-6FC54FE2166A}" id="{2BD4BA36-7BA7-AB68-0D50-D71A51B54149}">
    <xltc:text>M1/M2: fictional programme envelope, phase and maintenance assumption. No immediate guaranteed returns.</xltc:text>
  </xltc:threadedComment>
  <xltc:threadedComment ref="E6" dT="2026-10-06T14:30:30.432" personId="{FB322883-AC59-4354-A3C9-6FC54FE2166A}" id="{0F740F54-CFC6-0CD7-CB95-D8C68D71B2C6}">
    <xltc:text>M1/M2: fictional programme envelope, phase and maintenance assumption. No immediate guaranteed returns.</xltc:text>
  </xltc:threadedComment>
  <xltc:threadedComment ref="F6" dT="2026-10-06T14:30:30.432" personId="{FB322883-AC59-4354-A3C9-6FC54FE2166A}" id="{6DCAB469-E70A-1B7F-06A1-0ACA13A3D638}">
    <xltc:text>M1/M2: fictional programme envelope, phase and maintenance assumption. No immediate guaranteed returns.</xltc:text>
  </xltc:threadedComment>
  <xltc:threadedComment ref="C7" dT="2026-10-06T14:30:30.432" personId="{FB322883-AC59-4354-A3C9-6FC54FE2166A}" id="{115CE6D1-B5E5-05E0-7201-33C194B80A78}">
    <xltc:text>M1/M2: fictional programme envelope, phase and maintenance assumption. No immediate guaranteed returns.</xltc:text>
  </xltc:threadedComment>
  <xltc:threadedComment ref="D7" dT="2026-10-06T14:30:30.432" personId="{FB322883-AC59-4354-A3C9-6FC54FE2166A}" id="{5EB05434-6136-9DB0-75D6-B39BFC6A6AD2}">
    <xltc:text>M1/M2: fictional programme envelope, phase and maintenance assumption. No immediate guaranteed returns.</xltc:text>
  </xltc:threadedComment>
  <xltc:threadedComment ref="E7" dT="2026-10-06T14:30:30.432" personId="{FB322883-AC59-4354-A3C9-6FC54FE2166A}" id="{3D9F9833-0111-BBB4-22BE-1BDF5FA4D825}">
    <xltc:text>M1/M2: fictional programme envelope, phase and maintenance assumption. No immediate guaranteed returns.</xltc:text>
  </xltc:threadedComment>
  <xltc:threadedComment ref="F7" dT="2026-10-06T14:30:30.432" personId="{FB322883-AC59-4354-A3C9-6FC54FE2166A}" id="{03F2A35A-F54D-A905-26C8-551410FEFD18}">
    <xltc:text>M1/M2: fictional programme envelope, phase and maintenance assumption. No immediate guaranteed returns.</xltc:text>
  </xltc:threadedComment>
  <xltc:threadedComment ref="C8" dT="2026-10-06T14:30:30.432" personId="{FB322883-AC59-4354-A3C9-6FC54FE2166A}" id="{CC6D5165-A46F-06F7-7E78-0B1246AB801D}">
    <xltc:text>M1/M2: fictional programme envelope, phase and maintenance assumption. No immediate guaranteed returns.</xltc:text>
  </xltc:threadedComment>
  <xltc:threadedComment ref="D8" dT="2026-10-06T14:30:30.432" personId="{FB322883-AC59-4354-A3C9-6FC54FE2166A}" id="{090EE4FD-8446-B70B-8042-BAF9DDFFD61E}">
    <xltc:text>M1/M2: fictional programme envelope, phase and maintenance assumption. No immediate guaranteed returns.</xltc:text>
  </xltc:threadedComment>
  <xltc:threadedComment ref="E8" dT="2026-10-06T14:30:30.432" personId="{FB322883-AC59-4354-A3C9-6FC54FE2166A}" id="{7F523424-3DA1-E2E1-8769-E77362034EE8}">
    <xltc:text>M1/M2: fictional programme envelope, phase and maintenance assumption. No immediate guaranteed returns.</xltc:text>
  </xltc:threadedComment>
  <xltc:threadedComment ref="F8" dT="2026-10-06T14:30:30.432" personId="{FB322883-AC59-4354-A3C9-6FC54FE2166A}" id="{25DA7B1A-E8D0-C57F-4140-23DB2BF44D44}">
    <xltc:text>M1/M2: fictional programme envelope, phase and maintenance assumption. No immediate guaranteed returns.</xltc:text>
  </xltc:threadedComment>
  <xltc:threadedComment ref="C9" dT="2026-10-06T14:30:30.432" personId="{FB322883-AC59-4354-A3C9-6FC54FE2166A}" id="{691A2E0F-221A-1CFE-79F9-5273E4B3CEF5}">
    <xltc:text>M1/M2: fictional programme envelope, phase and maintenance assumption. No immediate guaranteed returns.</xltc:text>
  </xltc:threadedComment>
  <xltc:threadedComment ref="D9" dT="2026-10-06T14:30:30.432" personId="{FB322883-AC59-4354-A3C9-6FC54FE2166A}" id="{DC79E105-30B2-8DEE-5441-27C1A286B253}">
    <xltc:text>M1/M2: fictional programme envelope, phase and maintenance assumption. No immediate guaranteed returns.</xltc:text>
  </xltc:threadedComment>
  <xltc:threadedComment ref="E9" dT="2026-10-06T14:30:30.432" personId="{FB322883-AC59-4354-A3C9-6FC54FE2166A}" id="{9DDE84F6-EC72-2C6B-4B56-48F30D4CADEB}">
    <xltc:text>M1/M2: fictional programme envelope, phase and maintenance assumption. No immediate guaranteed returns.</xltc:text>
  </xltc:threadedComment>
  <xltc:threadedComment ref="F9" dT="2026-10-06T14:30:30.432" personId="{FB322883-AC59-4354-A3C9-6FC54FE2166A}" id="{5E183BA6-80C0-59E5-9B7E-8117978B6976}">
    <xltc:text>M1/M2: fictional programme envelope, phase and maintenance assumption. No immediate guaranteed returns.</xltc:text>
  </xltc:threadedComment>
  <xltc:threadedComment ref="C10" dT="2026-10-06T14:30:30.432" personId="{FB322883-AC59-4354-A3C9-6FC54FE2166A}" id="{F1B4506C-8A13-312F-4EE4-3076DCB0EA4F}">
    <xltc:text>M1/M2: fictional programme envelope, phase and maintenance assumption. No immediate guaranteed returns.</xltc:text>
  </xltc:threadedComment>
  <xltc:threadedComment ref="D10" dT="2026-10-06T14:30:30.432" personId="{FB322883-AC59-4354-A3C9-6FC54FE2166A}" id="{A0881BDD-F70B-2923-784C-853FD6ACC0AF}">
    <xltc:text>M1/M2: fictional programme envelope, phase and maintenance assumption. No immediate guaranteed returns.</xltc:text>
  </xltc:threadedComment>
  <xltc:threadedComment ref="E10" dT="2026-10-06T14:30:30.432" personId="{FB322883-AC59-4354-A3C9-6FC54FE2166A}" id="{13F5FAE1-0703-1F63-5D59-A017C1ADE658}">
    <xltc:text>M1/M2: fictional programme envelope, phase and maintenance assumption. No immediate guaranteed returns.</xltc:text>
  </xltc:threadedComment>
  <xltc:threadedComment ref="F10" dT="2026-10-06T14:30:30.432" personId="{FB322883-AC59-4354-A3C9-6FC54FE2166A}" id="{30996EA2-34AC-3DF7-9B6D-FA98BBCB77CA}">
    <xltc:text>M1/M2: fictional programme envelope, phase and maintenance assumption. No immediate guaranteed returns.</xltc:text>
  </xltc:threadedComment>
  <xltc:threadedComment ref="C11" dT="2026-10-06T14:30:30.432" personId="{FB322883-AC59-4354-A3C9-6FC54FE2166A}" id="{1F40D5A8-9A0C-9C46-44F3-82FA96CA1C2B}">
    <xltc:text>M1/M2: fictional programme envelope, phase and maintenance assumption. No immediate guaranteed returns.</xltc:text>
  </xltc:threadedComment>
  <xltc:threadedComment ref="D11" dT="2026-10-06T14:30:30.432" personId="{FB322883-AC59-4354-A3C9-6FC54FE2166A}" id="{D3BD6D1E-0321-49E6-D2D4-5C8116821929}">
    <xltc:text>M1/M2: fictional programme envelope, phase and maintenance assumption. No immediate guaranteed returns.</xltc:text>
  </xltc:threadedComment>
  <xltc:threadedComment ref="E11" dT="2026-10-06T14:30:30.432" personId="{FB322883-AC59-4354-A3C9-6FC54FE2166A}" id="{70797182-02DE-CF42-0CB1-2FC5520C5855}">
    <xltc:text>M1/M2: fictional programme envelope, phase and maintenance assumption. No immediate guaranteed returns.</xltc:text>
  </xltc:threadedComment>
  <xltc:threadedComment ref="F11" dT="2026-10-06T14:30:30.432" personId="{FB322883-AC59-4354-A3C9-6FC54FE2166A}" id="{D65D9BA5-D27C-89C0-E465-1C27386527D8}">
    <xltc:text>M1/M2: fictional programme envelope, phase and maintenance assumption. No immediate guaranteed returns.</xltc:text>
  </xltc:threadedComment>
  <xltc:threadedComment ref="C12" dT="2026-10-06T14:30:30.432" personId="{FB322883-AC59-4354-A3C9-6FC54FE2166A}" id="{1FD59D03-2BEE-AEF6-23D3-1967EC7931AD}">
    <xltc:text>M1/M2: fictional programme envelope, phase and maintenance assumption. No immediate guaranteed returns.</xltc:text>
  </xltc:threadedComment>
  <xltc:threadedComment ref="D12" dT="2026-10-06T14:30:30.432" personId="{FB322883-AC59-4354-A3C9-6FC54FE2166A}" id="{F358FEF8-79E3-9941-B8A9-089AC667F230}">
    <xltc:text>M1/M2: fictional programme envelope, phase and maintenance assumption. No immediate guaranteed returns.</xltc:text>
  </xltc:threadedComment>
  <xltc:threadedComment ref="E12" dT="2026-10-06T14:30:30.432" personId="{FB322883-AC59-4354-A3C9-6FC54FE2166A}" id="{54022475-ABC8-40FF-235D-7CD6093B8CAF}">
    <xltc:text>M1/M2: fictional programme envelope, phase and maintenance assumption. No immediate guaranteed returns.</xltc:text>
  </xltc:threadedComment>
  <xltc:threadedComment ref="F12" dT="2026-10-06T14:30:30.432" personId="{FB322883-AC59-4354-A3C9-6FC54FE2166A}" id="{41AF51D9-453B-D606-3C5F-5235EA31E244}">
    <xltc:text>M1/M2: fictional programme envelope, phase and maintenance assumption. No immediate guaranteed returns.</xltc:text>
  </xltc:threadedComment>
  <xltc:threadedComment ref="C13" dT="2026-10-06T14:30:30.432" personId="{FB322883-AC59-4354-A3C9-6FC54FE2166A}" id="{B8933497-0E6F-A933-784D-DB2136893405}">
    <xltc:text>M1/M2: fictional programme envelope, phase and maintenance assumption. No immediate guaranteed returns.</xltc:text>
  </xltc:threadedComment>
  <xltc:threadedComment ref="D13" dT="2026-10-06T14:30:30.432" personId="{FB322883-AC59-4354-A3C9-6FC54FE2166A}" id="{092C3C18-15C5-E892-650C-75E4CC4CD226}">
    <xltc:text>M1/M2: fictional programme envelope, phase and maintenance assumption. No immediate guaranteed returns.</xltc:text>
  </xltc:threadedComment>
  <xltc:threadedComment ref="E13" dT="2026-10-06T14:30:30.432" personId="{FB322883-AC59-4354-A3C9-6FC54FE2166A}" id="{503AD64E-A58E-D53F-402C-BBDF4E73E97C}">
    <xltc:text>M1/M2: fictional programme envelope, phase and maintenance assumption. No immediate guaranteed returns.</xltc:text>
  </xltc:threadedComment>
  <xltc:threadedComment ref="F13" dT="2026-10-06T14:30:30.432" personId="{FB322883-AC59-4354-A3C9-6FC54FE2166A}" id="{0431796F-7E67-C767-3D7D-A51230CFA97A}">
    <xltc:text>M1/M2: fictional programme envelope, phase and maintenance assumption. No immediate guaranteed returns.</xltc:text>
  </xltc:threadedComment>
  <xltc:threadedComment ref="C14" dT="2026-10-06T14:30:30.432" personId="{FB322883-AC59-4354-A3C9-6FC54FE2166A}" id="{B46AD272-BDFB-9E3C-146F-75F6DA3E53E9}">
    <xltc:text>M1/M2: fictional programme envelope, phase and maintenance assumption. No immediate guaranteed returns.</xltc:text>
  </xltc:threadedComment>
  <xltc:threadedComment ref="D14" dT="2026-10-06T14:30:30.432" personId="{FB322883-AC59-4354-A3C9-6FC54FE2166A}" id="{9A7DE5C1-2FA4-D01E-9BD3-1532FC4AC743}">
    <xltc:text>M1/M2: fictional programme envelope, phase and maintenance assumption. No immediate guaranteed returns.</xltc:text>
  </xltc:threadedComment>
  <xltc:threadedComment ref="E14" dT="2026-10-06T14:30:30.432" personId="{FB322883-AC59-4354-A3C9-6FC54FE2166A}" id="{761EB734-DF4B-56C4-B0ED-7D943E692608}">
    <xltc:text>M1/M2: fictional programme envelope, phase and maintenance assumption. No immediate guaranteed returns.</xltc:text>
  </xltc:threadedComment>
  <xltc:threadedComment ref="F14" dT="2026-10-06T14:30:30.432" personId="{FB322883-AC59-4354-A3C9-6FC54FE2166A}" id="{7F6A78B6-51C1-70D4-5872-FDECE648ACE0}">
    <xltc:text>M1/M2: fictional programme envelope, phase and maintenance assumption. No immediate guaranteed returns.</xltc:text>
  </xltc:threadedComment>
  <xltc:threadedComment ref="C15" dT="2026-10-06T14:30:30.432" personId="{FB322883-AC59-4354-A3C9-6FC54FE2166A}" id="{DDE7C0AB-F7A2-7611-C8B2-64302AE88712}">
    <xltc:text>M1/M2: fictional programme envelope, phase and maintenance assumption. No immediate guaranteed returns.</xltc:text>
  </xltc:threadedComment>
  <xltc:threadedComment ref="D15" dT="2026-10-06T14:30:30.432" personId="{FB322883-AC59-4354-A3C9-6FC54FE2166A}" id="{437C72BF-1093-1316-24C4-6286969BF1A4}">
    <xltc:text>M1/M2: fictional programme envelope, phase and maintenance assumption. No immediate guaranteed returns.</xltc:text>
  </xltc:threadedComment>
  <xltc:threadedComment ref="E15" dT="2026-10-06T14:30:30.432" personId="{FB322883-AC59-4354-A3C9-6FC54FE2166A}" id="{ABE5557B-F635-A5E1-9FB3-060F789D143B}">
    <xltc:text>M1/M2: fictional programme envelope, phase and maintenance assumption. No immediate guaranteed returns.</xltc:text>
  </xltc:threadedComment>
  <xltc:threadedComment ref="F15" dT="2026-10-06T14:30:30.432" personId="{FB322883-AC59-4354-A3C9-6FC54FE2166A}" id="{976332A6-EF62-7018-120A-57F68AA1FF87}">
    <xltc:text>M1/M2: fictional programme envelope, phase and maintenance assumption. No immediate guaranteed returns.</xltc:text>
  </xltc:threadedComment>
  <xltc:threadedComment ref="C16" dT="2026-10-06T14:30:30.432" personId="{FB322883-AC59-4354-A3C9-6FC54FE2166A}" id="{4AF014B7-A78E-1F9E-5EF4-FC4FC68F6CFB}">
    <xltc:text>M1/M2: fictional programme envelope, phase and maintenance assumption. No immediate guaranteed returns.</xltc:text>
  </xltc:threadedComment>
  <xltc:threadedComment ref="D16" dT="2026-10-06T14:30:30.432" personId="{FB322883-AC59-4354-A3C9-6FC54FE2166A}" id="{5CEC431E-7DB0-6B0F-6ACC-A3D4787F5D82}">
    <xltc:text>M1/M2: fictional programme envelope, phase and maintenance assumption. No immediate guaranteed returns.</xltc:text>
  </xltc:threadedComment>
  <xltc:threadedComment ref="E16" dT="2026-10-06T14:30:30.432" personId="{FB322883-AC59-4354-A3C9-6FC54FE2166A}" id="{67625908-3E64-9107-687C-280ABCBEBA93}">
    <xltc:text>M1/M2: fictional programme envelope, phase and maintenance assumption. No immediate guaranteed returns.</xltc:text>
  </xltc:threadedComment>
  <xltc:threadedComment ref="F16" dT="2026-10-06T14:30:30.432" personId="{FB322883-AC59-4354-A3C9-6FC54FE2166A}" id="{022A8071-BB13-C07A-4A02-44A49A35631E}">
    <xltc:text>M1/M2: fictional programme envelope, phase and maintenance assumption. No immediate guaranteed returns.</xltc:text>
  </xltc:threadedComment>
  <xltc:threadedComment ref="C17" dT="2026-10-06T14:30:30.432" personId="{FB322883-AC59-4354-A3C9-6FC54FE2166A}" id="{6F476EC1-01B0-76E9-B848-218C8C6407E6}">
    <xltc:text>M1/M2: fictional programme envelope, phase and maintenance assumption. No immediate guaranteed returns.</xltc:text>
  </xltc:threadedComment>
  <xltc:threadedComment ref="D17" dT="2026-10-06T14:30:30.432" personId="{FB322883-AC59-4354-A3C9-6FC54FE2166A}" id="{351A0D5E-AEBE-CD4E-86EC-231CA9C451D8}">
    <xltc:text>M1/M2: fictional programme envelope, phase and maintenance assumption. No immediate guaranteed returns.</xltc:text>
  </xltc:threadedComment>
  <xltc:threadedComment ref="E17" dT="2026-10-06T14:30:30.432" personId="{FB322883-AC59-4354-A3C9-6FC54FE2166A}" id="{961A00A5-DF1F-0E8C-C579-F24C978E0A13}">
    <xltc:text>M1/M2: fictional programme envelope, phase and maintenance assumption. No immediate guaranteed returns.</xltc:text>
  </xltc:threadedComment>
  <xltc:threadedComment ref="F17" dT="2026-10-06T14:30:30.432" personId="{FB322883-AC59-4354-A3C9-6FC54FE2166A}" id="{53A9DF75-F3F8-68CF-6CED-B3F88C38F231}">
    <xltc:text>M1/M2: fictional programme envelope, phase and maintenance assumption. No immediate guaranteed returns.</xltc:text>
  </xltc:threadedComment>
  <xltc:threadedComment ref="C18" dT="2026-10-06T14:30:30.432" personId="{FB322883-AC59-4354-A3C9-6FC54FE2166A}" id="{E7A55377-601B-920A-204A-5F2D9B3A065D}">
    <xltc:text>M1/M2: fictional programme envelope, phase and maintenance assumption. No immediate guaranteed returns.</xltc:text>
  </xltc:threadedComment>
  <xltc:threadedComment ref="D18" dT="2026-10-06T14:30:30.432" personId="{FB322883-AC59-4354-A3C9-6FC54FE2166A}" id="{D6A6DF56-3E21-654E-372D-7268AF579CCC}">
    <xltc:text>M1/M2: fictional programme envelope, phase and maintenance assumption. No immediate guaranteed returns.</xltc:text>
  </xltc:threadedComment>
  <xltc:threadedComment ref="E18" dT="2026-10-06T14:30:30.432" personId="{FB322883-AC59-4354-A3C9-6FC54FE2166A}" id="{5B427039-82B9-3409-5490-8696D782FD62}">
    <xltc:text>M1/M2: fictional programme envelope, phase and maintenance assumption. No immediate guaranteed returns.</xltc:text>
  </xltc:threadedComment>
  <xltc:threadedComment ref="F18" dT="2026-10-06T14:30:30.432" personId="{FB322883-AC59-4354-A3C9-6FC54FE2166A}" id="{F1A16D63-675F-119B-8E45-ED3059A90075}">
    <xltc:text>M1/M2: fictional programme envelope, phase and maintenance assumption. No immediate guaranteed returns.</xltc:text>
  </xltc:threadedComment>
  <xltc:threadedComment ref="C19" dT="2026-10-06T14:30:30.432" personId="{FB322883-AC59-4354-A3C9-6FC54FE2166A}" id="{7C21F347-1D41-D018-0710-D81E4E20BE8E}">
    <xltc:text>M1/M2: fictional programme envelope, phase and maintenance assumption. No immediate guaranteed returns.</xltc:text>
  </xltc:threadedComment>
  <xltc:threadedComment ref="D19" dT="2026-10-06T14:30:30.432" personId="{FB322883-AC59-4354-A3C9-6FC54FE2166A}" id="{02DAF574-A2A7-68AD-2125-D3860B17D86D}">
    <xltc:text>M1/M2: fictional programme envelope, phase and maintenance assumption. No immediate guaranteed returns.</xltc:text>
  </xltc:threadedComment>
  <xltc:threadedComment ref="E19" dT="2026-10-06T14:30:30.432" personId="{FB322883-AC59-4354-A3C9-6FC54FE2166A}" id="{F6D0A124-5125-4AE8-9D3F-9CDFF25B7D08}">
    <xltc:text>M1/M2: fictional programme envelope, phase and maintenance assumption. No immediate guaranteed returns.</xltc:text>
  </xltc:threadedComment>
  <xltc:threadedComment ref="F19" dT="2026-10-06T14:30:30.432" personId="{FB322883-AC59-4354-A3C9-6FC54FE2166A}" id="{B650B9A3-6A6C-41BE-F0FB-C70F764C989C}">
    <xltc:text>M1/M2: fictional programme envelope, phase and maintenance assumption. No immediate guaranteed returns.</xltc:text>
  </xltc:threadedComment>
  <xltc:threadedComment ref="C5" dT="2026-10-06T15:59:23.998" personId="{25DF97B0-CF0A-4315-97A5-EDD1D2A9B51B}" id="{2D7B367F-EDFC-8249-A2D7-96E2473B4346}">
    <xltc:text>M3: revised project envelope, first-year cash allocation or future upkeep. Purpose and delivery horizon retained; exact costs are scenario choices.</xltc:text>
  </xltc:threadedComment>
  <xltc:threadedComment ref="D5" dT="2026-10-06T15:59:23.998" personId="{25DF97B0-CF0A-4315-97A5-EDD1D2A9B51B}" id="{E512DC69-8485-6914-29EA-A77E0F424CE5}">
    <xltc:text>M3: revised project envelope, first-year cash allocation or future upkeep. Purpose and delivery horizon retained; exact costs are scenario choices.</xltc:text>
  </xltc:threadedComment>
  <xltc:threadedComment ref="F5" dT="2026-10-06T15:59:23.998" personId="{25DF97B0-CF0A-4315-97A5-EDD1D2A9B51B}" id="{C95CB416-1FB4-C61F-38F2-60F120EF8177}">
    <xltc:text>M3: revised project envelope, first-year cash allocation or future upkeep. Purpose and delivery horizon retained; exact costs are scenario choices.</xltc:text>
  </xltc:threadedComment>
  <xltc:threadedComment ref="C6" dT="2026-10-06T15:59:23.998" personId="{25DF97B0-CF0A-4315-97A5-EDD1D2A9B51B}" id="{17BFD2E6-34F6-C1E0-B9DD-CE7A7C15047D}">
    <xltc:text>M3: revised project envelope, first-year cash allocation or future upkeep. Purpose and delivery horizon retained; exact costs are scenario choices.</xltc:text>
  </xltc:threadedComment>
  <xltc:threadedComment ref="D6" dT="2026-10-06T15:59:23.998" personId="{25DF97B0-CF0A-4315-97A5-EDD1D2A9B51B}" id="{54870BA9-7C29-250F-D7FA-E40BBF6E8FA1}">
    <xltc:text>M3: revised project envelope, first-year cash allocation or future upkeep. Purpose and delivery horizon retained; exact costs are scenario choices.</xltc:text>
  </xltc:threadedComment>
  <xltc:threadedComment ref="F6" dT="2026-10-06T15:59:23.998" personId="{25DF97B0-CF0A-4315-97A5-EDD1D2A9B51B}" id="{2DDB128D-7970-70FF-5B67-573C6A263788}">
    <xltc:text>M3: revised project envelope, first-year cash allocation or future upkeep. Purpose and delivery horizon retained; exact costs are scenario choices.</xltc:text>
  </xltc:threadedComment>
  <xltc:threadedComment ref="C7" dT="2026-10-06T15:59:23.998" personId="{25DF97B0-CF0A-4315-97A5-EDD1D2A9B51B}" id="{A8A58CD6-87D2-09B0-9F71-E76224E0EBC8}">
    <xltc:text>M3: revised project envelope, first-year cash allocation or future upkeep. Purpose and delivery horizon retained; exact costs are scenario choices.</xltc:text>
  </xltc:threadedComment>
  <xltc:threadedComment ref="D7" dT="2026-10-06T15:59:23.998" personId="{25DF97B0-CF0A-4315-97A5-EDD1D2A9B51B}" id="{F3564650-741A-2D18-3C35-49D683201795}">
    <xltc:text>M3: revised project envelope, first-year cash allocation or future upkeep. Purpose and delivery horizon retained; exact costs are scenario choices.</xltc:text>
  </xltc:threadedComment>
  <xltc:threadedComment ref="F7" dT="2026-10-06T15:59:23.998" personId="{25DF97B0-CF0A-4315-97A5-EDD1D2A9B51B}" id="{4EBE4235-2540-6DFB-6058-4EDB63422E26}">
    <xltc:text>M3: revised project envelope, first-year cash allocation or future upkeep. Purpose and delivery horizon retained; exact costs are scenario choices.</xltc:text>
  </xltc:threadedComment>
  <xltc:threadedComment ref="C8" dT="2026-10-06T15:59:23.998" personId="{25DF97B0-CF0A-4315-97A5-EDD1D2A9B51B}" id="{C164743D-002B-49CF-04E5-5C35322F6CC5}">
    <xltc:text>M3: revised project envelope, first-year cash allocation or future upkeep. Purpose and delivery horizon retained; exact costs are scenario choices.</xltc:text>
  </xltc:threadedComment>
  <xltc:threadedComment ref="D8" dT="2026-10-06T15:59:23.998" personId="{25DF97B0-CF0A-4315-97A5-EDD1D2A9B51B}" id="{A8DCDB9F-D227-E3E1-072A-3EB4B843ACBB}">
    <xltc:text>M3: revised project envelope, first-year cash allocation or future upkeep. Purpose and delivery horizon retained; exact costs are scenario choices.</xltc:text>
  </xltc:threadedComment>
  <xltc:threadedComment ref="F8" dT="2026-10-06T15:59:23.998" personId="{25DF97B0-CF0A-4315-97A5-EDD1D2A9B51B}" id="{53F5BB4C-DCE4-F9B7-3C10-51719528A3C2}">
    <xltc:text>M3: revised project envelope, first-year cash allocation or future upkeep. Purpose and delivery horizon retained; exact costs are scenario choices.</xltc:text>
  </xltc:threadedComment>
  <xltc:threadedComment ref="C9" dT="2026-10-06T15:59:23.998" personId="{25DF97B0-CF0A-4315-97A5-EDD1D2A9B51B}" id="{C31AA557-DDEA-E78A-D199-7F3F1309FE1B}">
    <xltc:text>M3: revised project envelope, first-year cash allocation or future upkeep. Purpose and delivery horizon retained; exact costs are scenario choices.</xltc:text>
  </xltc:threadedComment>
  <xltc:threadedComment ref="D9" dT="2026-10-06T15:59:23.998" personId="{25DF97B0-CF0A-4315-97A5-EDD1D2A9B51B}" id="{3CA217AB-237B-B93E-C884-FF5F94CF680F}">
    <xltc:text>M3: revised project envelope, first-year cash allocation or future upkeep. Purpose and delivery horizon retained; exact costs are scenario choices.</xltc:text>
  </xltc:threadedComment>
  <xltc:threadedComment ref="F9" dT="2026-10-06T15:59:23.998" personId="{25DF97B0-CF0A-4315-97A5-EDD1D2A9B51B}" id="{88FCBB0D-09BD-F455-FCC6-ACF0132CA18B}">
    <xltc:text>M3: revised project envelope, first-year cash allocation or future upkeep. Purpose and delivery horizon retained; exact costs are scenario choices.</xltc:text>
  </xltc:threadedComment>
  <xltc:threadedComment ref="C10" dT="2026-10-06T15:59:23.998" personId="{25DF97B0-CF0A-4315-97A5-EDD1D2A9B51B}" id="{BF3A3F7D-46B0-E829-C5E9-3604E5738865}">
    <xltc:text>M3: revised project envelope, first-year cash allocation or future upkeep. Purpose and delivery horizon retained; exact costs are scenario choices.</xltc:text>
  </xltc:threadedComment>
  <xltc:threadedComment ref="D10" dT="2026-10-06T15:59:23.998" personId="{25DF97B0-CF0A-4315-97A5-EDD1D2A9B51B}" id="{48B7C08C-CF25-BD1C-B89F-B81514D654D2}">
    <xltc:text>M3: revised project envelope, first-year cash allocation or future upkeep. Purpose and delivery horizon retained; exact costs are scenario choices.</xltc:text>
  </xltc:threadedComment>
  <xltc:threadedComment ref="F10" dT="2026-10-06T15:59:23.998" personId="{25DF97B0-CF0A-4315-97A5-EDD1D2A9B51B}" id="{FCCB2F83-93FF-56E7-6998-F120BF4A22B5}">
    <xltc:text>M3: revised project envelope, first-year cash allocation or future upkeep. Purpose and delivery horizon retained; exact costs are scenario choices.</xltc:text>
  </xltc:threadedComment>
  <xltc:threadedComment ref="C11" dT="2026-10-06T15:59:23.998" personId="{25DF97B0-CF0A-4315-97A5-EDD1D2A9B51B}" id="{C1E3118E-E825-D850-3E95-CB3198781A1E}">
    <xltc:text>M3: revised project envelope, first-year cash allocation or future upkeep. Purpose and delivery horizon retained; exact costs are scenario choices.</xltc:text>
  </xltc:threadedComment>
  <xltc:threadedComment ref="D11" dT="2026-10-06T15:59:23.998" personId="{25DF97B0-CF0A-4315-97A5-EDD1D2A9B51B}" id="{3665939A-CA79-E71C-5783-52F69DD5C249}">
    <xltc:text>M3: revised project envelope, first-year cash allocation or future upkeep. Purpose and delivery horizon retained; exact costs are scenario choices.</xltc:text>
  </xltc:threadedComment>
  <xltc:threadedComment ref="F11" dT="2026-10-06T15:59:23.998" personId="{25DF97B0-CF0A-4315-97A5-EDD1D2A9B51B}" id="{C70A5D13-C9DB-A3CC-4C21-803EC7F0EAB9}">
    <xltc:text>M3: revised project envelope, first-year cash allocation or future upkeep. Purpose and delivery horizon retained; exact costs are scenario choices.</xltc:text>
  </xltc:threadedComment>
  <xltc:threadedComment ref="C12" dT="2026-10-06T15:59:23.998" personId="{25DF97B0-CF0A-4315-97A5-EDD1D2A9B51B}" id="{E2431BB4-B5E1-EAA6-7E62-DAD343F272CD}">
    <xltc:text>M3: revised project envelope, first-year cash allocation or future upkeep. Purpose and delivery horizon retained; exact costs are scenario choices.</xltc:text>
  </xltc:threadedComment>
  <xltc:threadedComment ref="D12" dT="2026-10-06T15:59:23.998" personId="{25DF97B0-CF0A-4315-97A5-EDD1D2A9B51B}" id="{95B1462B-7868-2115-000D-911583D92C9D}">
    <xltc:text>M3: revised project envelope, first-year cash allocation or future upkeep. Purpose and delivery horizon retained; exact costs are scenario choices.</xltc:text>
  </xltc:threadedComment>
  <xltc:threadedComment ref="F12" dT="2026-10-06T15:59:23.998" personId="{25DF97B0-CF0A-4315-97A5-EDD1D2A9B51B}" id="{8FE9EE43-8E7E-08D7-9832-49F39FB546F5}">
    <xltc:text>M3: revised project envelope, first-year cash allocation or future upkeep. Purpose and delivery horizon retained; exact costs are scenario choices.</xltc:text>
  </xltc:threadedComment>
  <xltc:threadedComment ref="C13" dT="2026-10-06T15:59:23.998" personId="{25DF97B0-CF0A-4315-97A5-EDD1D2A9B51B}" id="{0D793845-4AF5-97C5-08C9-34E9626F6163}">
    <xltc:text>M3: revised project envelope, first-year cash allocation or future upkeep. Purpose and delivery horizon retained; exact costs are scenario choices.</xltc:text>
  </xltc:threadedComment>
  <xltc:threadedComment ref="D13" dT="2026-10-06T15:59:23.998" personId="{25DF97B0-CF0A-4315-97A5-EDD1D2A9B51B}" id="{4258C0BF-7753-FD5A-5CC2-DEDC5B923ADE}">
    <xltc:text>M3: revised project envelope, first-year cash allocation or future upkeep. Purpose and delivery horizon retained; exact costs are scenario choices.</xltc:text>
  </xltc:threadedComment>
  <xltc:threadedComment ref="F13" dT="2026-10-06T15:59:23.998" personId="{25DF97B0-CF0A-4315-97A5-EDD1D2A9B51B}" id="{098C1E71-8C56-2853-B1EC-22E96BC7C688}">
    <xltc:text>M3: revised project envelope, first-year cash allocation or future upkeep. Purpose and delivery horizon retained; exact costs are scenario choices.</xltc:text>
  </xltc:threadedComment>
  <xltc:threadedComment ref="C14" dT="2026-10-06T15:59:23.998" personId="{25DF97B0-CF0A-4315-97A5-EDD1D2A9B51B}" id="{083297B7-2826-F4CB-AE9F-BD5F85A61349}">
    <xltc:text>M3: revised project envelope, first-year cash allocation or future upkeep. Purpose and delivery horizon retained; exact costs are scenario choices.</xltc:text>
  </xltc:threadedComment>
  <xltc:threadedComment ref="D14" dT="2026-10-06T15:59:23.998" personId="{25DF97B0-CF0A-4315-97A5-EDD1D2A9B51B}" id="{9C91121E-6E3E-F682-B995-E96F41F5FEB8}">
    <xltc:text>M3: revised project envelope, first-year cash allocation or future upkeep. Purpose and delivery horizon retained; exact costs are scenario choices.</xltc:text>
  </xltc:threadedComment>
  <xltc:threadedComment ref="F14" dT="2026-10-06T15:59:23.998" personId="{25DF97B0-CF0A-4315-97A5-EDD1D2A9B51B}" id="{12295FB8-4C8C-5C18-2275-0C8BA5F443CF}">
    <xltc:text>M3: revised project envelope, first-year cash allocation or future upkeep. Purpose and delivery horizon retained; exact costs are scenario choices.</xltc:text>
  </xltc:threadedComment>
  <xltc:threadedComment ref="C15" dT="2026-10-06T15:59:23.998" personId="{25DF97B0-CF0A-4315-97A5-EDD1D2A9B51B}" id="{D5C479DA-9D2C-2875-C8F2-0F7C30C3788B}">
    <xltc:text>M3: revised project envelope, first-year cash allocation or future upkeep. Purpose and delivery horizon retained; exact costs are scenario choices.</xltc:text>
  </xltc:threadedComment>
  <xltc:threadedComment ref="D15" dT="2026-10-06T15:59:23.998" personId="{25DF97B0-CF0A-4315-97A5-EDD1D2A9B51B}" id="{A37919B0-DADC-DD13-BCC4-FE8E7B1CC9F7}">
    <xltc:text>M3: revised project envelope, first-year cash allocation or future upkeep. Purpose and delivery horizon retained; exact costs are scenario choices.</xltc:text>
  </xltc:threadedComment>
  <xltc:threadedComment ref="F15" dT="2026-10-06T15:59:23.998" personId="{25DF97B0-CF0A-4315-97A5-EDD1D2A9B51B}" id="{81AC4178-33AF-8028-AD7C-64AC834AEF4A}">
    <xltc:text>M3: revised project envelope, first-year cash allocation or future upkeep. Purpose and delivery horizon retained; exact costs are scenario choices.</xltc:text>
  </xltc:threadedComment>
  <xltc:threadedComment ref="C16" dT="2026-10-06T15:59:23.998" personId="{25DF97B0-CF0A-4315-97A5-EDD1D2A9B51B}" id="{F0039878-83F2-C73C-C241-C644F42D210B}">
    <xltc:text>M3: revised project envelope, first-year cash allocation or future upkeep. Purpose and delivery horizon retained; exact costs are scenario choices.</xltc:text>
  </xltc:threadedComment>
  <xltc:threadedComment ref="D16" dT="2026-10-06T15:59:23.998" personId="{25DF97B0-CF0A-4315-97A5-EDD1D2A9B51B}" id="{1F0C61A4-38DC-4078-1C9A-6603ED22A3BA}">
    <xltc:text>M3: revised project envelope, first-year cash allocation or future upkeep. Purpose and delivery horizon retained; exact costs are scenario choices.</xltc:text>
  </xltc:threadedComment>
  <xltc:threadedComment ref="F16" dT="2026-10-06T15:59:23.998" personId="{25DF97B0-CF0A-4315-97A5-EDD1D2A9B51B}" id="{46B263E9-E2E4-2D0C-C273-792A5F3B0A15}">
    <xltc:text>M3: revised project envelope, first-year cash allocation or future upkeep. Purpose and delivery horizon retained; exact costs are scenario choices.</xltc:text>
  </xltc:threadedComment>
  <xltc:threadedComment ref="C17" dT="2026-10-06T15:59:23.998" personId="{25DF97B0-CF0A-4315-97A5-EDD1D2A9B51B}" id="{F41BEF8A-0478-5FFF-91EF-503B75EA3A10}">
    <xltc:text>M3: revised project envelope, first-year cash allocation or future upkeep. Purpose and delivery horizon retained; exact costs are scenario choices.</xltc:text>
  </xltc:threadedComment>
  <xltc:threadedComment ref="D17" dT="2026-10-06T15:59:23.998" personId="{25DF97B0-CF0A-4315-97A5-EDD1D2A9B51B}" id="{BB5A5EEE-93A5-3E14-4AF5-7E45697E3EC4}">
    <xltc:text>M3: revised project envelope, first-year cash allocation or future upkeep. Purpose and delivery horizon retained; exact costs are scenario choices.</xltc:text>
  </xltc:threadedComment>
  <xltc:threadedComment ref="F17" dT="2026-10-06T15:59:23.998" personId="{25DF97B0-CF0A-4315-97A5-EDD1D2A9B51B}" id="{E67E1102-44A8-64EC-EF62-646ED0C32FA4}">
    <xltc:text>M3: revised project envelope, first-year cash allocation or future upkeep. Purpose and delivery horizon retained; exact costs are scenario choices.</xltc:text>
  </xltc:threadedComment>
  <xltc:threadedComment ref="C18" dT="2026-10-06T15:59:23.998" personId="{25DF97B0-CF0A-4315-97A5-EDD1D2A9B51B}" id="{FFD12ACC-334D-BCBA-5389-E85BCE04D744}">
    <xltc:text>M3: revised project envelope, first-year cash allocation or future upkeep. Purpose and delivery horizon retained; exact costs are scenario choices.</xltc:text>
  </xltc:threadedComment>
  <xltc:threadedComment ref="D18" dT="2026-10-06T15:59:23.998" personId="{25DF97B0-CF0A-4315-97A5-EDD1D2A9B51B}" id="{2C1D2C15-A375-F2B3-93D1-3AE320916711}">
    <xltc:text>M3: revised project envelope, first-year cash allocation or future upkeep. Purpose and delivery horizon retained; exact costs are scenario choices.</xltc:text>
  </xltc:threadedComment>
  <xltc:threadedComment ref="F18" dT="2026-10-06T15:59:23.998" personId="{25DF97B0-CF0A-4315-97A5-EDD1D2A9B51B}" id="{4F78BAE9-9887-2309-873B-1E3D977D096A}">
    <xltc:text>M3: revised project envelope, first-year cash allocation or future upkeep. Purpose and delivery horizon retained; exact costs are scenario choices.</xltc:text>
  </xltc:threadedComment>
  <xltc:threadedComment ref="C19" dT="2026-10-06T15:59:23.998" personId="{25DF97B0-CF0A-4315-97A5-EDD1D2A9B51B}" id="{6821FAA8-96D8-F0F3-1482-340F067BE78F}">
    <xltc:text>M3: revised project envelope, first-year cash allocation or future upkeep. Purpose and delivery horizon retained; exact costs are scenario choices.</xltc:text>
  </xltc:threadedComment>
  <xltc:threadedComment ref="D19" dT="2026-10-06T15:59:23.998" personId="{25DF97B0-CF0A-4315-97A5-EDD1D2A9B51B}" id="{FCD9B395-7D74-6DA8-3FD1-F12474053DC1}">
    <xltc:text>M3: revised project envelope, first-year cash allocation or future upkeep. Purpose and delivery horizon retained; exact costs are scenario choices.</xltc:text>
  </xltc:threadedComment>
  <xltc:threadedComment ref="F19" dT="2026-10-06T15:59:23.998" personId="{25DF97B0-CF0A-4315-97A5-EDD1D2A9B51B}" id="{602CE8D7-45CD-B522-E6B3-2C3AAAC691CD}">
    <xltc:text>M3: revised project envelope, first-year cash allocation or future upkeep. Purpose and delivery horizon retained; exact costs are scenario choices.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D5" dT="2026-10-06T14:30:30.432" personId="{FB322883-AC59-4354-A3C9-6FC54FE2166A}" id="{9E53DAB2-7403-94DE-3BFD-4A2F8FD2C92B}">
    <xltc:text>U2: WESTEROS_ECONOMIC_REFERENCE.md (298 AC), price-book assumptions, converted from DA at 30 DA = 1 G. Horse fodder is M2.</xltc:text>
  </xltc:threadedComment>
  <xltc:threadedComment ref="D6" dT="2026-10-06T14:30:30.432" personId="{FB322883-AC59-4354-A3C9-6FC54FE2166A}" id="{2B577E44-340F-3CEF-2309-040F0E29742C}">
    <xltc:text>U2: WESTEROS_ECONOMIC_REFERENCE.md (298 AC), price-book assumptions, converted from DA at 30 DA = 1 G. Horse fodder is M2.</xltc:text>
  </xltc:threadedComment>
  <xltc:threadedComment ref="D7" dT="2026-10-06T14:30:30.432" personId="{FB322883-AC59-4354-A3C9-6FC54FE2166A}" id="{8989E1D3-6AF4-EE57-5814-6B0D0CF876EA}">
    <xltc:text>U2: WESTEROS_ECONOMIC_REFERENCE.md (298 AC), price-book assumptions, converted from DA at 30 DA = 1 G. Horse fodder is M2.</xltc:text>
  </xltc:threadedComment>
  <xltc:threadedComment ref="D8" dT="2026-10-06T14:30:30.432" personId="{FB322883-AC59-4354-A3C9-6FC54FE2166A}" id="{C18CE36C-95D7-2197-68A6-5860B3C9C856}">
    <xltc:text>U2: WESTEROS_ECONOMIC_REFERENCE.md (298 AC), price-book assumptions, converted from DA at 30 DA = 1 G. Horse fodder is M2.</xltc:text>
  </xltc:threadedComment>
  <xltc:threadedComment ref="D9" dT="2026-10-06T14:30:30.432" personId="{FB322883-AC59-4354-A3C9-6FC54FE2166A}" id="{6998BB63-E5B8-0B9D-3FEB-CE840C94A092}">
    <xltc:text>U2: WESTEROS_ECONOMIC_REFERENCE.md (298 AC), price-book assumptions, converted from DA at 30 DA = 1 G. Horse fodder is M2.</xltc:text>
  </xltc:threadedComment>
  <xltc:threadedComment ref="D10" dT="2026-10-06T14:30:30.432" personId="{FB322883-AC59-4354-A3C9-6FC54FE2166A}" id="{4E255423-E5E8-CE8B-766F-55D348FF7D7E}">
    <xltc:text>U2: WESTEROS_ECONOMIC_REFERENCE.md (298 AC), price-book assumptions, converted from DA at 30 DA = 1 G. Horse fodder is M2.</xltc:text>
  </xltc:threadedComment>
  <xltc:threadedComment ref="D11" dT="2026-10-06T14:30:30.432" personId="{FB322883-AC59-4354-A3C9-6FC54FE2166A}" id="{9CD5D12C-22B5-2C09-0C28-89C546AD0140}">
    <xltc:text>U2: WESTEROS_ECONOMIC_REFERENCE.md (298 AC), price-book assumptions, converted from DA at 30 DA = 1 G. Horse fodder is M2.</xltc:text>
  </xltc:threadedComment>
  <xltc:threadedComment ref="D12" dT="2026-10-06T14:30:30.432" personId="{FB322883-AC59-4354-A3C9-6FC54FE2166A}" id="{0AD746A7-C3BE-986D-3182-2D97E9B38C5B}">
    <xltc:text>U2: WESTEROS_ECONOMIC_REFERENCE.md (298 AC), price-book assumptions, converted from DA at 30 DA = 1 G. Horse fodder is M2.</xltc:text>
  </xltc:threadedComment>
  <xltc:threadedComment ref="D13" dT="2026-10-06T14:30:30.432" personId="{FB322883-AC59-4354-A3C9-6FC54FE2166A}" id="{C7113E31-BE96-53AF-CCFD-7C85F2793AA7}">
    <xltc:text>U2: WESTEROS_ECONOMIC_REFERENCE.md (298 AC), price-book assumptions, converted from DA at 30 DA = 1 G. Horse fodder is M2.</xltc:text>
  </xltc:threadedComment>
  <xltc:threadedComment ref="D14" dT="2026-10-06T14:30:30.432" personId="{FB322883-AC59-4354-A3C9-6FC54FE2166A}" id="{215223E9-F79C-EECE-FB16-54A4DC4A4CC0}">
    <xltc:text>U2: WESTEROS_ECONOMIC_REFERENCE.md (298 AC), price-book assumptions, converted from DA at 30 DA = 1 G. Horse fodder is M2.</xltc:text>
  </xltc:threadedComment>
  <xltc:threadedComment ref="D15" dT="2026-10-06T14:30:30.432" personId="{FB322883-AC59-4354-A3C9-6FC54FE2166A}" id="{DD419548-CB7B-A20E-02BB-A8043E349DD4}">
    <xltc:text>U2: WESTEROS_ECONOMIC_REFERENCE.md (298 AC), price-book assumptions, converted from DA at 30 DA = 1 G. Horse fodder is M2.</xltc:text>
  </xltc:threadedComment>
  <xltc:threadedComment ref="D16" dT="2026-10-06T14:30:30.432" personId="{FB322883-AC59-4354-A3C9-6FC54FE2166A}" id="{62746B20-A472-AC24-F751-2C41B53BEF0E}">
    <xltc:text>U2: WESTEROS_ECONOMIC_REFERENCE.md (298 AC), price-book assumptions, converted from DA at 30 DA = 1 G. Horse fodder is M2.</xltc:text>
  </xltc:threadedComment>
  <xltc:threadedComment ref="D17" dT="2026-10-06T14:30:30.432" personId="{FB322883-AC59-4354-A3C9-6FC54FE2166A}" id="{F6011AE6-7753-A39D-DA6A-3FEFEFD6B372}">
    <xltc:text>U2: WESTEROS_ECONOMIC_REFERENCE.md (298 AC), price-book assumptions, converted from DA at 30 DA = 1 G. Horse fodder is M2.</xltc:text>
  </xltc:threadedComment>
  <xltc:threadedComment ref="D18" dT="2026-10-06T14:30:30.432" personId="{FB322883-AC59-4354-A3C9-6FC54FE2166A}" id="{8026C364-5741-30BC-07DD-25345A0EF7D9}">
    <xltc:text>U2: WESTEROS_ECONOMIC_REFERENCE.md (298 AC), price-book assumptions, converted from DA at 30 DA = 1 G. Horse fodder is M2.</xltc:text>
  </xltc:threadedComment>
  <xltc:threadedComment ref="D19" dT="2026-10-06T14:30:30.432" personId="{FB322883-AC59-4354-A3C9-6FC54FE2166A}" id="{A72C23E2-9D2A-4527-0BDB-565BE5F21233}">
    <xltc:text>U2: WESTEROS_ECONOMIC_REFERENCE.md (298 AC), price-book assumptions, converted from DA at 30 DA = 1 G. Horse fodder is M2.</xltc:text>
  </xltc:threadedComment>
  <xltc:threadedComment ref="D20" dT="2026-10-06T14:30:30.432" personId="{FB322883-AC59-4354-A3C9-6FC54FE2166A}" id="{1975A649-9493-0D33-3DE5-6F7C6AF4B376}">
    <xltc:text>U2: WESTEROS_ECONOMIC_REFERENCE.md (298 AC), price-book assumptions, converted from DA at 30 DA = 1 G. Horse fodder is M2.</xltc:text>
  </xltc:threadedComment>
  <xltc:threadedComment ref="D21" dT="2026-10-06T14:30:30.432" personId="{FB322883-AC59-4354-A3C9-6FC54FE2166A}" id="{8CDEE583-FF07-66E3-CCBE-5917C61292CB}">
    <xltc:text>U2: WESTEROS_ECONOMIC_REFERENCE.md (298 AC), price-book assumptions, converted from DA at 30 DA = 1 G. Horse fodder is M2.</xltc:text>
  </xltc:threadedComment>
  <xltc:threadedComment ref="D22" dT="2026-10-06T14:30:30.432" personId="{FB322883-AC59-4354-A3C9-6FC54FE2166A}" id="{E42170F4-CC8D-9659-7DBB-6EA1EC807A43}">
    <xltc:text>U2: WESTEROS_ECONOMIC_REFERENCE.md (298 AC), price-book assumptions, converted from DA at 30 DA = 1 G. Horse fodder is M2.</xltc:text>
  </xltc:threadedComment>
  <xltc:threadedComment ref="D23" dT="2026-10-06T14:30:30.432" personId="{FB322883-AC59-4354-A3C9-6FC54FE2166A}" id="{9C7B94CD-D438-C34A-2DEB-CA1B0E4A0152}">
    <xltc:text>U2: WESTEROS_ECONOMIC_REFERENCE.md (298 AC), price-book assumptions, converted from DA at 30 DA = 1 G. Horse fodder is M2.</xltc:text>
  </xltc:threadedComment>
  <xltc:threadedComment ref="D24" dT="2026-10-06T14:30:30.432" personId="{FB322883-AC59-4354-A3C9-6FC54FE2166A}" id="{0B055457-E325-9625-94AB-8A8D8D37CD00}">
    <xltc:text>U2: WESTEROS_ECONOMIC_REFERENCE.md (298 AC), price-book assumptions, converted from DA at 30 DA = 1 G. Horse fodder is M2.</xltc:text>
  </xltc:threadedComment>
  <xltc:threadedComment ref="D25" dT="2026-10-06T14:30:30.432" personId="{FB322883-AC59-4354-A3C9-6FC54FE2166A}" id="{91952D26-0AF8-37F1-7D08-19627B32FE9C}">
    <xltc:text>U2: WESTEROS_ECONOMIC_REFERENCE.md (298 AC), price-book assumptions, converted from DA at 30 DA = 1 G. Horse fodder is M2.</xltc:text>
  </xltc:threadedComment>
  <xltc:threadedComment ref="D26" dT="2026-10-06T14:30:30.432" personId="{FB322883-AC59-4354-A3C9-6FC54FE2166A}" id="{2DFF53BC-7E4A-9AA4-800F-F9BE1CFF6B14}">
    <xltc:text>U2: WESTEROS_ECONOMIC_REFERENCE.md (298 AC), price-book assumptions, converted from DA at 30 DA = 1 G. Horse fodder is M2.</xltc:text>
  </xltc:threadedComment>
  <xltc:threadedComment ref="D27" dT="2026-10-06T14:30:30.432" personId="{FB322883-AC59-4354-A3C9-6FC54FE2166A}" id="{D41BB22C-508A-7497-2C99-9CE918392C26}">
    <xltc:text>U2: WESTEROS_ECONOMIC_REFERENCE.md (298 AC), price-book assumptions, converted from DA at 30 DA = 1 G. Horse fodder is M2.</xltc:text>
  </xltc:threadedComment>
  <xltc:threadedComment ref="D28" dT="2026-10-06T14:30:30.432" personId="{FB322883-AC59-4354-A3C9-6FC54FE2166A}" id="{BDBCB72B-1E04-640E-CAB8-F01C2A051783}">
    <xltc:text>U2: WESTEROS_ECONOMIC_REFERENCE.md (298 AC), price-book assumptions, converted from DA at 30 DA = 1 G. Horse fodder is M2.</xltc:text>
  </xltc:threadedComment>
  <xltc:threadedComment ref="D29" dT="2026-10-06T14:30:30.432" personId="{FB322883-AC59-4354-A3C9-6FC54FE2166A}" id="{178B4EA8-0B55-DADD-2589-87B283E42FBB}">
    <xltc:text>U2: WESTEROS_ECONOMIC_REFERENCE.md (298 AC), price-book assumptions, converted from DA at 30 DA = 1 G. Horse fodder is M2.</xltc:text>
  </xltc:threadedComment>
  <xltc:threadedComment ref="D30" dT="2026-10-06T14:30:30.432" personId="{FB322883-AC59-4354-A3C9-6FC54FE2166A}" id="{74F64FB1-AD7C-CA9C-AA98-3EC69C4D017F}">
    <xltc:text>U2: WESTEROS_ECONOMIC_REFERENCE.md (298 AC), price-book assumptions, converted from DA at 30 DA = 1 G. Horse fodder is M2.</xltc:text>
  </xltc:threadedComment>
  <xltc:threadedComment ref="D31" dT="2026-10-06T14:30:30.432" personId="{FB322883-AC59-4354-A3C9-6FC54FE2166A}" id="{DB36328B-2E84-797E-190F-0D75E38374E4}">
    <xltc:text>U2: WESTEROS_ECONOMIC_REFERENCE.md (298 AC), price-book assumptions, converted from DA at 30 DA = 1 G. Horse fodder is M2.</xltc:text>
  </xltc:threadedComment>
  <xltc:threadedComment ref="D32" dT="2026-10-06T14:30:30.432" personId="{FB322883-AC59-4354-A3C9-6FC54FE2166A}" id="{19838315-9CAF-D911-4F86-CC619EA44F96}">
    <xltc:text>U2: WESTEROS_ECONOMIC_REFERENCE.md (298 AC), price-book assumptions, converted from DA at 30 DA = 1 G. Horse fodder is M2.</xltc:text>
  </xltc:threadedComment>
  <xltc:threadedComment ref="D33" dT="2026-10-06T14:30:30.432" personId="{FB322883-AC59-4354-A3C9-6FC54FE2166A}" id="{DDCC6A59-0E44-803B-27C6-C23FCB2BC547}">
    <xltc:text>U2: WESTEROS_ECONOMIC_REFERENCE.md (298 AC), price-book assumptions, converted from DA at 30 DA = 1 G. Horse fodder is M2.</xltc:text>
  </xltc:threadedComment>
  <xltc:threadedComment ref="D34" dT="2026-10-06T14:30:30.432" personId="{FB322883-AC59-4354-A3C9-6FC54FE2166A}" id="{E2781D1E-2A24-2F5A-F2B6-EC8D9B7935E6}">
    <xltc:text>U2: WESTEROS_ECONOMIC_REFERENCE.md (298 AC), price-book assumptions, converted from DA at 30 DA = 1 G. Horse fodder is M2.</xltc:text>
  </xltc:threadedComment>
  <xltc:threadedComment ref="D35" dT="2026-10-06T14:30:30.432" personId="{FB322883-AC59-4354-A3C9-6FC54FE2166A}" id="{E6CEBE67-51B8-90E4-50FF-0998C2D28F41}">
    <xltc:text>U2: WESTEROS_ECONOMIC_REFERENCE.md (298 AC), price-book assumptions, converted from DA at 30 DA = 1 G. Horse fodder is M2.</xltc:text>
  </xltc:threadedComment>
  <xltc:threadedComment ref="D36" dT="2026-10-06T14:30:30.432" personId="{FB322883-AC59-4354-A3C9-6FC54FE2166A}" id="{DD59233E-683D-E312-0CA9-C223FE137929}">
    <xltc:text>U2: WESTEROS_ECONOMIC_REFERENCE.md (298 AC), price-book assumptions, converted from DA at 30 DA = 1 G. Horse fodder is M2.</xltc:text>
  </xltc:threadedComment>
  <xltc:threadedComment ref="D37" dT="2026-10-06T14:30:30.432" personId="{FB322883-AC59-4354-A3C9-6FC54FE2166A}" id="{DD89DCB4-B17C-1302-DEBA-23F6EFE05150}">
    <xltc:text>U2: WESTEROS_ECONOMIC_REFERENCE.md (298 AC), price-book assumptions, converted from DA at 30 DA = 1 G. Horse fodder is M2.</xltc:text>
  </xltc:threadedComment>
  <xltc:threadedComment ref="D38" dT="2026-10-06T14:30:30.432" personId="{FB322883-AC59-4354-A3C9-6FC54FE2166A}" id="{3FC5287E-F222-CE84-75E8-6CA6362A1551}">
    <xltc:text>U2: WESTEROS_ECONOMIC_REFERENCE.md (298 AC), price-book assumptions, converted from DA at 30 DA = 1 G. Horse fodder is M2.</xltc:text>
  </xltc:threadedComment>
  <xltc:threadedComment ref="D39" dT="2026-10-06T14:30:30.432" personId="{FB322883-AC59-4354-A3C9-6FC54FE2166A}" id="{542F5610-0419-51A0-C27A-01E0146AF4C0}">
    <xltc:text>U2: WESTEROS_ECONOMIC_REFERENCE.md (298 AC), price-book assumptions, converted from DA at 30 DA = 1 G. Horse fodder is M2.</xltc:text>
  </xltc:threadedComment>
  <xltc:threadedComment ref="D40" dT="2026-10-06T14:30:30.432" personId="{FB322883-AC59-4354-A3C9-6FC54FE2166A}" id="{3BC320A7-0E57-AF0C-CA9E-102B58782668}">
    <xltc:text>U2: WESTEROS_ECONOMIC_REFERENCE.md (298 AC), price-book assumptions, converted from DA at 30 DA = 1 G. Horse fodder is M2.</xltc:text>
  </xltc:threadedComment>
  <xltc:threadedComment ref="D41" dT="2026-10-06T14:30:30.432" personId="{FB322883-AC59-4354-A3C9-6FC54FE2166A}" id="{A5ED22E5-7DE7-49E3-2CD9-2FAE6DA0725A}">
    <xltc:text>U2: WESTEROS_ECONOMIC_REFERENCE.md (298 AC), price-book assumptions, converted from DA at 30 DA = 1 G. Horse fodder is M2.</xltc:text>
  </xltc:threadedComment>
  <xltc:threadedComment ref="D42" dT="2026-10-06T14:30:30.432" personId="{FB322883-AC59-4354-A3C9-6FC54FE2166A}" id="{D6714CDA-C750-E78C-B4C1-59F48CB12FBA}">
    <xltc:text>U2: WESTEROS_ECONOMIC_REFERENCE.md (298 AC), price-book assumptions, converted from DA at 30 DA = 1 G. Horse fodder is M2.</xltc:text>
  </xltc:threadedComment>
  <xltc:threadedComment ref="D43" dT="2026-10-06T14:30:30.432" personId="{FB322883-AC59-4354-A3C9-6FC54FE2166A}" id="{80288948-D5C1-FF32-C861-D218D9D37D90}">
    <xltc:text>U2: WESTEROS_ECONOMIC_REFERENCE.md (298 AC), price-book assumptions, converted from DA at 30 DA = 1 G. Horse fodder is M2.</xltc:text>
  </xltc:threadedComment>
  <xltc:threadedComment ref="D44" dT="2026-10-06T14:30:30.432" personId="{FB322883-AC59-4354-A3C9-6FC54FE2166A}" id="{269CACFA-3027-4B17-856D-2F3E4B8BF3AF}">
    <xltc:text>U2: WESTEROS_ECONOMIC_REFERENCE.md (298 AC), price-book assumptions, converted from DA at 30 DA = 1 G. Horse fodder is M2.</xltc:text>
  </xltc:threadedComment>
  <xltc:threadedComment ref="D45" dT="2026-10-06T14:30:30.432" personId="{FB322883-AC59-4354-A3C9-6FC54FE2166A}" id="{3D1176A7-E9B4-4D33-8CBD-A6546A3403BF}">
    <xltc:text>U2: WESTEROS_ECONOMIC_REFERENCE.md (298 AC), price-book assumptions, converted from DA at 30 DA = 1 G. Horse fodder is M2.</xltc:text>
  </xltc:threadedComment>
  <xltc:threadedComment ref="D46" dT="2026-10-06T14:30:30.432" personId="{FB322883-AC59-4354-A3C9-6FC54FE2166A}" id="{7E273068-2D9C-20FA-2E5A-6DF913596F83}">
    <xltc:text>U2: WESTEROS_ECONOMIC_REFERENCE.md (298 AC), price-book assumptions, converted from DA at 30 DA = 1 G. Horse fodder is M2.</xltc:text>
  </xltc:threadedComment>
  <xltc:threadedComment ref="D47" dT="2026-10-06T14:30:30.432" personId="{FB322883-AC59-4354-A3C9-6FC54FE2166A}" id="{560954E7-5061-AA48-EB8B-AA42D90D8AE3}">
    <xltc:text>U2: WESTEROS_ECONOMIC_REFERENCE.md (298 AC), price-book assumptions, converted from DA at 30 DA = 1 G. Horse fodder is M2.</xltc:text>
  </xltc:threadedComment>
  <xltc:threadedComment ref="D48" dT="2026-10-06T14:30:30.432" personId="{FB322883-AC59-4354-A3C9-6FC54FE2166A}" id="{A63B3E37-CFB9-0FA0-0930-9296D8D553B0}">
    <xltc:text>U2: WESTEROS_ECONOMIC_REFERENCE.md (298 AC), price-book assumptions, converted from DA at 30 DA = 1 G. Horse fodder is M2.</xltc:text>
  </xltc:threadedComment>
  <xltc:threadedComment ref="D49" dT="2026-10-06T14:30:30.432" personId="{FB322883-AC59-4354-A3C9-6FC54FE2166A}" id="{BD0776E9-10BA-FDF5-ABE5-681C4E20E06E}">
    <xltc:text>U2: WESTEROS_ECONOMIC_REFERENCE.md (298 AC), price-book assumptions, converted from DA at 30 DA = 1 G. Horse fodder is M2.</xltc:text>
  </xltc:threadedComment>
  <xltc:threadedComment ref="D50" dT="2026-10-06T14:30:30.432" personId="{FB322883-AC59-4354-A3C9-6FC54FE2166A}" id="{C158AA2F-61D1-3DF4-E438-0F7E07F3CF71}">
    <xltc:text>U2: WESTEROS_ECONOMIC_REFERENCE.md (298 AC), price-book assumptions, converted from DA at 30 DA = 1 G. Horse fodder is M2.</xltc:text>
  </xltc:threadedComment>
  <xltc:threadedComment ref="D51" dT="2026-10-06T14:30:30.432" personId="{FB322883-AC59-4354-A3C9-6FC54FE2166A}" id="{29CF2D0E-16B8-34E1-64C8-6D7C651FE0D9}">
    <xltc:text>U2: WESTEROS_ECONOMIC_REFERENCE.md (298 AC), price-book assumptions, converted from DA at 30 DA = 1 G. Horse fodder is M2.</xltc:text>
  </xltc:threadedComment>
  <xltc:threadedComment ref="D5" dT="2026-10-06T15:59:23.998" personId="{25DF97B0-CF0A-4315-97A5-EDD1D2A9B51B}" id="{81A70650-7C8A-132F-9884-C81581EB3582}">
    <xltc:text>M3: new item-specific base price in actual gold dragons. Not a quote or unit conversion. The previous price is retained in J where available; scenario market changes use I.</xltc:text>
  </xltc:threadedComment>
  <xltc:threadedComment ref="D6" dT="2026-10-06T15:59:23.998" personId="{25DF97B0-CF0A-4315-97A5-EDD1D2A9B51B}" id="{581231AF-0A15-F5DC-5865-17B42D707CB7}">
    <xltc:text>M3: new item-specific base price in actual gold dragons. Not a quote or unit conversion. The previous price is retained in J where available; scenario market changes use I.</xltc:text>
  </xltc:threadedComment>
  <xltc:threadedComment ref="D7" dT="2026-10-06T15:59:23.998" personId="{25DF97B0-CF0A-4315-97A5-EDD1D2A9B51B}" id="{FAEE5882-B3AF-BC76-8A61-90BB1CFAE815}">
    <xltc:text>M3: new item-specific base price in actual gold dragons. Not a quote or unit conversion. The previous price is retained in J where available; scenario market changes use I.</xltc:text>
  </xltc:threadedComment>
  <xltc:threadedComment ref="D8" dT="2026-10-06T15:59:23.998" personId="{25DF97B0-CF0A-4315-97A5-EDD1D2A9B51B}" id="{236C40FB-87EB-0A73-372D-57D2E32EF37F}">
    <xltc:text>M3: new item-specific base price in actual gold dragons. Not a quote or unit conversion. The previous price is retained in J where available; scenario market changes use I.</xltc:text>
  </xltc:threadedComment>
  <xltc:threadedComment ref="D9" dT="2026-10-06T15:59:23.998" personId="{25DF97B0-CF0A-4315-97A5-EDD1D2A9B51B}" id="{C00143A1-EF01-ECAE-FF84-C4A79DF91E82}">
    <xltc:text>M3: new item-specific base price in actual gold dragons. Not a quote or unit conversion. The previous price is retained in J where available; scenario market changes use I.</xltc:text>
  </xltc:threadedComment>
  <xltc:threadedComment ref="D10" dT="2026-10-06T15:59:23.998" personId="{25DF97B0-CF0A-4315-97A5-EDD1D2A9B51B}" id="{EBC56367-4261-7072-54E8-7F2F9286915C}">
    <xltc:text>M3: new item-specific base price in actual gold dragons. Not a quote or unit conversion. The previous price is retained in J where available; scenario market changes use I.</xltc:text>
  </xltc:threadedComment>
  <xltc:threadedComment ref="D11" dT="2026-10-06T15:59:23.998" personId="{25DF97B0-CF0A-4315-97A5-EDD1D2A9B51B}" id="{553402D1-FDED-FED0-47C7-51F776B26EE4}">
    <xltc:text>M3: new item-specific base price in actual gold dragons. Not a quote or unit conversion. The previous price is retained in J where available; scenario market changes use I.</xltc:text>
  </xltc:threadedComment>
  <xltc:threadedComment ref="D12" dT="2026-10-06T15:59:23.998" personId="{25DF97B0-CF0A-4315-97A5-EDD1D2A9B51B}" id="{3904836B-3997-6D4C-944A-73D572255998}">
    <xltc:text>M3: new item-specific base price in actual gold dragons. Not a quote or unit conversion. The previous price is retained in J where available; scenario market changes use I.</xltc:text>
  </xltc:threadedComment>
  <xltc:threadedComment ref="D13" dT="2026-10-06T15:59:23.998" personId="{25DF97B0-CF0A-4315-97A5-EDD1D2A9B51B}" id="{D8A9C1F4-A961-BD95-1D19-9DB43A5FD478}">
    <xltc:text>M3: new item-specific base price in actual gold dragons. Not a quote or unit conversion. The previous price is retained in J where available; scenario market changes use I.</xltc:text>
  </xltc:threadedComment>
  <xltc:threadedComment ref="D14" dT="2026-10-06T15:59:23.998" personId="{25DF97B0-CF0A-4315-97A5-EDD1D2A9B51B}" id="{A97230CB-0339-6310-4E4B-2CCA1A86543A}">
    <xltc:text>M3: new item-specific base price in actual gold dragons. Not a quote or unit conversion. The previous price is retained in J where available; scenario market changes use I.</xltc:text>
  </xltc:threadedComment>
  <xltc:threadedComment ref="D15" dT="2026-10-06T15:59:23.998" personId="{25DF97B0-CF0A-4315-97A5-EDD1D2A9B51B}" id="{DF778BE9-3F68-3F7E-5FB8-A4758D2A9B02}">
    <xltc:text>M3: new item-specific base price in actual gold dragons. Not a quote or unit conversion. The previous price is retained in J where available; scenario market changes use I.</xltc:text>
  </xltc:threadedComment>
  <xltc:threadedComment ref="D16" dT="2026-10-06T15:59:23.998" personId="{25DF97B0-CF0A-4315-97A5-EDD1D2A9B51B}" id="{9E64F8E9-BFC9-1ECA-A4BD-66C37C83CA3B}">
    <xltc:text>M3: new item-specific base price in actual gold dragons. Not a quote or unit conversion. The previous price is retained in J where available; scenario market changes use I.</xltc:text>
  </xltc:threadedComment>
  <xltc:threadedComment ref="D17" dT="2026-10-06T15:59:23.998" personId="{25DF97B0-CF0A-4315-97A5-EDD1D2A9B51B}" id="{DC264E70-9F52-D869-FE60-D8BD10E33419}">
    <xltc:text>M3: new item-specific base price in actual gold dragons. Not a quote or unit conversion. The previous price is retained in J where available; scenario market changes use I.</xltc:text>
  </xltc:threadedComment>
  <xltc:threadedComment ref="D18" dT="2026-10-06T15:59:23.998" personId="{25DF97B0-CF0A-4315-97A5-EDD1D2A9B51B}" id="{5712BF45-5E00-BA56-01B6-0788525D5CBE}">
    <xltc:text>M3: new item-specific base price in actual gold dragons. Not a quote or unit conversion. The previous price is retained in J where available; scenario market changes use I.</xltc:text>
  </xltc:threadedComment>
  <xltc:threadedComment ref="D19" dT="2026-10-06T15:59:23.998" personId="{25DF97B0-CF0A-4315-97A5-EDD1D2A9B51B}" id="{6B3DD8CC-A0B6-D75E-B50C-9243B651F6AB}">
    <xltc:text>M3: new item-specific base price in actual gold dragons. Not a quote or unit conversion. The previous price is retained in J where available; scenario market changes use I.</xltc:text>
  </xltc:threadedComment>
  <xltc:threadedComment ref="D20" dT="2026-10-06T15:59:23.998" personId="{25DF97B0-CF0A-4315-97A5-EDD1D2A9B51B}" id="{8089C5A0-9C6E-119B-40AE-47C795A0B2A0}">
    <xltc:text>M3: new item-specific base price in actual gold dragons. Not a quote or unit conversion. The previous price is retained in J where available; scenario market changes use I.</xltc:text>
  </xltc:threadedComment>
  <xltc:threadedComment ref="D21" dT="2026-10-06T15:59:23.998" personId="{25DF97B0-CF0A-4315-97A5-EDD1D2A9B51B}" id="{83823F3B-A7DF-1158-B4E3-3C18E8FE1630}">
    <xltc:text>M3: new item-specific base price in actual gold dragons. Not a quote or unit conversion. The previous price is retained in J where available; scenario market changes use I.</xltc:text>
  </xltc:threadedComment>
  <xltc:threadedComment ref="D22" dT="2026-10-06T15:59:23.998" personId="{25DF97B0-CF0A-4315-97A5-EDD1D2A9B51B}" id="{2D983A03-AAA7-C643-B0B2-DA1EEA2227B0}">
    <xltc:text>M3: new item-specific base price in actual gold dragons. Not a quote or unit conversion. The previous price is retained in J where available; scenario market changes use I.</xltc:text>
  </xltc:threadedComment>
  <xltc:threadedComment ref="D23" dT="2026-10-06T15:59:23.998" personId="{25DF97B0-CF0A-4315-97A5-EDD1D2A9B51B}" id="{E90B1A4F-1FD3-48A2-0749-2C563A7C31B2}">
    <xltc:text>M3: new item-specific base price in actual gold dragons. Not a quote or unit conversion. The previous price is retained in J where available; scenario market changes use I.</xltc:text>
  </xltc:threadedComment>
  <xltc:threadedComment ref="D24" dT="2026-10-06T15:59:23.998" personId="{25DF97B0-CF0A-4315-97A5-EDD1D2A9B51B}" id="{A97B71BC-0BE1-1827-9BE4-F68210C0F59F}">
    <xltc:text>M3: new item-specific base price in actual gold dragons. Not a quote or unit conversion. The previous price is retained in J where available; scenario market changes use I.</xltc:text>
  </xltc:threadedComment>
  <xltc:threadedComment ref="D25" dT="2026-10-06T15:59:23.998" personId="{25DF97B0-CF0A-4315-97A5-EDD1D2A9B51B}" id="{F968B538-8D0A-A66F-D464-F3B29D8B5C3D}">
    <xltc:text>M3: new item-specific base price in actual gold dragons. Not a quote or unit conversion. The previous price is retained in J where available; scenario market changes use I.</xltc:text>
  </xltc:threadedComment>
  <xltc:threadedComment ref="D26" dT="2026-10-06T15:59:23.998" personId="{25DF97B0-CF0A-4315-97A5-EDD1D2A9B51B}" id="{77B78B89-26EB-9746-8A8D-101C0D141C12}">
    <xltc:text>M3: new item-specific base price in actual gold dragons. Not a quote or unit conversion. The previous price is retained in J where available; scenario market changes use I.</xltc:text>
  </xltc:threadedComment>
  <xltc:threadedComment ref="D27" dT="2026-10-06T15:59:23.998" personId="{25DF97B0-CF0A-4315-97A5-EDD1D2A9B51B}" id="{6C609A90-57EE-F02C-C4E8-1D2336040265}">
    <xltc:text>M3: new item-specific base price in actual gold dragons. Not a quote or unit conversion. The previous price is retained in J where available; scenario market changes use I.</xltc:text>
  </xltc:threadedComment>
  <xltc:threadedComment ref="D28" dT="2026-10-06T15:59:23.998" personId="{25DF97B0-CF0A-4315-97A5-EDD1D2A9B51B}" id="{FDDB67AB-3AB6-202B-4611-386127D506AE}">
    <xltc:text>M3: new item-specific base price in actual gold dragons. Not a quote or unit conversion. The previous price is retained in J where available; scenario market changes use I.</xltc:text>
  </xltc:threadedComment>
  <xltc:threadedComment ref="D29" dT="2026-10-06T15:59:23.998" personId="{25DF97B0-CF0A-4315-97A5-EDD1D2A9B51B}" id="{6BC7D46F-F696-3277-F99B-29DD0C580D00}">
    <xltc:text>M3: new item-specific base price in actual gold dragons. Not a quote or unit conversion. The previous price is retained in J where available; scenario market changes use I.</xltc:text>
  </xltc:threadedComment>
  <xltc:threadedComment ref="D30" dT="2026-10-06T15:59:23.998" personId="{25DF97B0-CF0A-4315-97A5-EDD1D2A9B51B}" id="{B5F48EA5-E327-73A5-79F9-5B0D4FBDE1FF}">
    <xltc:text>M3: new item-specific base price in actual gold dragons. Not a quote or unit conversion. The previous price is retained in J where available; scenario market changes use I.</xltc:text>
  </xltc:threadedComment>
  <xltc:threadedComment ref="D31" dT="2026-10-06T15:59:23.998" personId="{25DF97B0-CF0A-4315-97A5-EDD1D2A9B51B}" id="{77FC9CDD-EAC5-89FD-95B1-477CFC9F9FEF}">
    <xltc:text>M3: new item-specific base price in actual gold dragons. Not a quote or unit conversion. The previous price is retained in J where available; scenario market changes use I.</xltc:text>
  </xltc:threadedComment>
  <xltc:threadedComment ref="D32" dT="2026-10-06T15:59:23.998" personId="{25DF97B0-CF0A-4315-97A5-EDD1D2A9B51B}" id="{B5D29459-E985-6C38-5105-69E20E23C749}">
    <xltc:text>M3: new item-specific base price in actual gold dragons. Not a quote or unit conversion. The previous price is retained in J where available; scenario market changes use I.</xltc:text>
  </xltc:threadedComment>
  <xltc:threadedComment ref="D33" dT="2026-10-06T15:59:23.998" personId="{25DF97B0-CF0A-4315-97A5-EDD1D2A9B51B}" id="{1F27589E-4741-985F-3957-9B479059A382}">
    <xltc:text>M3: new item-specific base price in actual gold dragons. Not a quote or unit conversion. The previous price is retained in J where available; scenario market changes use I.</xltc:text>
  </xltc:threadedComment>
  <xltc:threadedComment ref="D34" dT="2026-10-06T15:59:23.998" personId="{25DF97B0-CF0A-4315-97A5-EDD1D2A9B51B}" id="{F2F006A8-3FE8-B4EB-7316-81F31B676E38}">
    <xltc:text>M3: new item-specific base price in actual gold dragons. Not a quote or unit conversion. The previous price is retained in J where available; scenario market changes use I.</xltc:text>
  </xltc:threadedComment>
  <xltc:threadedComment ref="D35" dT="2026-10-06T15:59:23.998" personId="{25DF97B0-CF0A-4315-97A5-EDD1D2A9B51B}" id="{95EC4C0A-3788-A88A-BC62-9EFAEACD5EC2}">
    <xltc:text>M3: new item-specific base price in actual gold dragons. Not a quote or unit conversion. The previous price is retained in J where available; scenario market changes use I.</xltc:text>
  </xltc:threadedComment>
  <xltc:threadedComment ref="D36" dT="2026-10-06T15:59:23.998" personId="{25DF97B0-CF0A-4315-97A5-EDD1D2A9B51B}" id="{80A079D8-0EB9-DB53-BA15-E0F74A700D7D}">
    <xltc:text>M3: new item-specific base price in actual gold dragons. Not a quote or unit conversion. The previous price is retained in J where available; scenario market changes use I.</xltc:text>
  </xltc:threadedComment>
  <xltc:threadedComment ref="D37" dT="2026-10-06T15:59:23.998" personId="{25DF97B0-CF0A-4315-97A5-EDD1D2A9B51B}" id="{1CBA8691-F4F9-135F-2639-C564D24115C0}">
    <xltc:text>M3: new item-specific base price in actual gold dragons. Not a quote or unit conversion. The previous price is retained in J where available; scenario market changes use I.</xltc:text>
  </xltc:threadedComment>
  <xltc:threadedComment ref="D38" dT="2026-10-06T15:59:23.998" personId="{25DF97B0-CF0A-4315-97A5-EDD1D2A9B51B}" id="{C2FD4AD7-E3ED-9FFA-70F9-1004E0038984}">
    <xltc:text>M3: new item-specific base price in actual gold dragons. Not a quote or unit conversion. The previous price is retained in J where available; scenario market changes use I.</xltc:text>
  </xltc:threadedComment>
  <xltc:threadedComment ref="D39" dT="2026-10-06T15:59:23.998" personId="{25DF97B0-CF0A-4315-97A5-EDD1D2A9B51B}" id="{914F82AA-9BA9-59C7-AA66-5ED89B585B3B}">
    <xltc:text>M3: new item-specific base price in actual gold dragons. Not a quote or unit conversion. The previous price is retained in J where available; scenario market changes use I.</xltc:text>
  </xltc:threadedComment>
  <xltc:threadedComment ref="D40" dT="2026-10-06T15:59:23.998" personId="{25DF97B0-CF0A-4315-97A5-EDD1D2A9B51B}" id="{C60E0BED-6CF8-E1F7-3FAE-67B72830AABC}">
    <xltc:text>M3: new item-specific base price in actual gold dragons. Not a quote or unit conversion. The previous price is retained in J where available; scenario market changes use I.</xltc:text>
  </xltc:threadedComment>
  <xltc:threadedComment ref="D41" dT="2026-10-06T15:59:23.998" personId="{25DF97B0-CF0A-4315-97A5-EDD1D2A9B51B}" id="{8C16C1D6-7200-121F-BED9-9EB2ABA5DD62}">
    <xltc:text>M3: new item-specific base price in actual gold dragons. Not a quote or unit conversion. The previous price is retained in J where available; scenario market changes use I.</xltc:text>
  </xltc:threadedComment>
  <xltc:threadedComment ref="D42" dT="2026-10-06T15:59:23.998" personId="{25DF97B0-CF0A-4315-97A5-EDD1D2A9B51B}" id="{66B0F9E8-09DA-9E28-9B25-201037233D11}">
    <xltc:text>M3: new item-specific base price in actual gold dragons. Not a quote or unit conversion. The previous price is retained in J where available; scenario market changes use I.</xltc:text>
  </xltc:threadedComment>
  <xltc:threadedComment ref="D43" dT="2026-10-06T15:59:23.998" personId="{25DF97B0-CF0A-4315-97A5-EDD1D2A9B51B}" id="{EE6C7DFE-8C00-B06B-2792-65D391DFA924}">
    <xltc:text>M3: new item-specific base price in actual gold dragons. Not a quote or unit conversion. The previous price is retained in J where available; scenario market changes use I.</xltc:text>
  </xltc:threadedComment>
  <xltc:threadedComment ref="D44" dT="2026-10-06T15:59:23.998" personId="{25DF97B0-CF0A-4315-97A5-EDD1D2A9B51B}" id="{A7A11F82-F424-990E-B2E9-45FD9074EF48}">
    <xltc:text>M3: new item-specific base price in actual gold dragons. Not a quote or unit conversion. The previous price is retained in J where available; scenario market changes use I.</xltc:text>
  </xltc:threadedComment>
  <xltc:threadedComment ref="D45" dT="2026-10-06T15:59:23.998" personId="{25DF97B0-CF0A-4315-97A5-EDD1D2A9B51B}" id="{85992BBB-9695-B8B1-D5F5-2655D898E405}">
    <xltc:text>M3: new item-specific base price in actual gold dragons. Not a quote or unit conversion. The previous price is retained in J where available; scenario market changes use I.</xltc:text>
  </xltc:threadedComment>
  <xltc:threadedComment ref="D46" dT="2026-10-06T15:59:23.998" personId="{25DF97B0-CF0A-4315-97A5-EDD1D2A9B51B}" id="{7AF3F2D7-278E-1B41-D1E5-8B367A18C3A1}">
    <xltc:text>M3: new item-specific base price in actual gold dragons. Not a quote or unit conversion. The previous price is retained in J where available; scenario market changes use I.</xltc:text>
  </xltc:threadedComment>
  <xltc:threadedComment ref="D47" dT="2026-10-06T15:59:23.998" personId="{25DF97B0-CF0A-4315-97A5-EDD1D2A9B51B}" id="{85EEB95A-AEDB-37F5-19C6-C569E5869FD5}">
    <xltc:text>M3: new item-specific base price in actual gold dragons. Not a quote or unit conversion. The previous price is retained in J where available; scenario market changes use I.</xltc:text>
  </xltc:threadedComment>
  <xltc:threadedComment ref="D48" dT="2026-10-06T15:59:23.998" personId="{25DF97B0-CF0A-4315-97A5-EDD1D2A9B51B}" id="{E9ACAD60-3E97-67D2-1C37-508076A1662D}">
    <xltc:text>M3: new item-specific base price in actual gold dragons. Not a quote or unit conversion. The previous price is retained in J where available; scenario market changes use I.</xltc:text>
  </xltc:threadedComment>
  <xltc:threadedComment ref="D49" dT="2026-10-06T15:59:23.998" personId="{25DF97B0-CF0A-4315-97A5-EDD1D2A9B51B}" id="{305D4060-43FD-3EF9-6CBA-017AB560486C}">
    <xltc:text>M3: new item-specific base price in actual gold dragons. Not a quote or unit conversion. The previous price is retained in J where available; scenario market changes use I.</xltc:text>
  </xltc:threadedComment>
  <xltc:threadedComment ref="D50" dT="2026-10-06T15:59:23.998" personId="{25DF97B0-CF0A-4315-97A5-EDD1D2A9B51B}" id="{A1FAD1E9-EB09-4CD5-F236-FA90E6E98080}">
    <xltc:text>M3: new item-specific base price in actual gold dragons. Not a quote or unit conversion. The previous price is retained in J where available; scenario market changes use I.</xltc:text>
  </xltc:threadedComment>
  <xltc:threadedComment ref="D51" dT="2026-10-06T15:59:23.998" personId="{25DF97B0-CF0A-4315-97A5-EDD1D2A9B51B}" id="{0DAA97A9-AA70-9F69-B6E2-77DF0D75AA9B}">
    <xltc:text>M3: new item-specific base price in actual gold dragons. Not a quote or unit conversion. The previous price is retained in J where available; scenario market changes use I.</xltc:text>
  </xltc:threadedComment>
  <xltc:threadedComment ref="D52" dT="2026-10-06T15:59:23.998" personId="{25DF97B0-CF0A-4315-97A5-EDD1D2A9B51B}" id="{399890F2-6922-8BB1-B3EE-FF5966A6C3EB}">
    <xltc:text>M3: new item-specific base price in actual gold dragons. Not a quote or unit conversion. The previous price is retained in J where available; scenario market changes use I.</xltc:text>
  </xltc:threadedComment>
  <xltc:threadedComment ref="D53" dT="2026-10-06T15:59:23.998" personId="{25DF97B0-CF0A-4315-97A5-EDD1D2A9B51B}" id="{A095CB2C-A594-0AEB-6785-12FB0E207C43}">
    <xltc:text>M3: new item-specific base price in actual gold dragons. Not a quote or unit conversion. The previous price is retained in J where available; scenario market changes use I.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B5" dT="2026-10-06T14:30:30.432" personId="{FB322883-AC59-4354-A3C9-6FC54FE2166A}" id="{8D335D61-3D35-72AA-EBD5-A54692A1EA0E}">
    <xltc:text>M2: configurable campaign assumption; historical analogy does not establish this exact setting.</xltc:text>
  </xltc:threadedComment>
  <xltc:threadedComment ref="B6" dT="2026-10-06T14:30:30.432" personId="{FB322883-AC59-4354-A3C9-6FC54FE2166A}" id="{14E93DAC-2404-5C41-EBBF-96654369E934}">
    <xltc:text>M2: configurable campaign assumption; historical analogy does not establish this exact setting.</xltc:text>
  </xltc:threadedComment>
  <xltc:threadedComment ref="B7" dT="2026-10-06T14:30:30.432" personId="{FB322883-AC59-4354-A3C9-6FC54FE2166A}" id="{F7159D2A-EC2C-CE94-B7C1-C2E7A15393A5}">
    <xltc:text>M2: configurable campaign assumption; historical analogy does not establish this exact setting.</xltc:text>
  </xltc:threadedComment>
  <xltc:threadedComment ref="B8" dT="2026-10-06T14:30:30.432" personId="{FB322883-AC59-4354-A3C9-6FC54FE2166A}" id="{76BBA452-1110-5BD0-ABB1-B6F012FB7D48}">
    <xltc:text>M2: configurable campaign assumption; historical analogy does not establish this exact setting.</xltc:text>
  </xltc:threadedComment>
  <xltc:threadedComment ref="B9" dT="2026-10-06T14:30:30.432" personId="{FB322883-AC59-4354-A3C9-6FC54FE2166A}" id="{F1A99000-E126-BF8F-1842-F4424AFB93DB}">
    <xltc:text>M2: configurable campaign assumption; historical analogy does not establish this exact setting.</xltc:text>
  </xltc:threadedComment>
  <xltc:threadedComment ref="B10" dT="2026-10-06T14:30:30.432" personId="{FB322883-AC59-4354-A3C9-6FC54FE2166A}" id="{AEA5C0EB-3461-608F-CE71-4D4E901D6CF4}">
    <xltc:text>M2: configurable campaign assumption; historical analogy does not establish this exact setting.</xltc:text>
  </xltc:threadedComment>
  <xltc:threadedComment ref="B15" dT="2026-10-06T14:30:30.432" personId="{FB322883-AC59-4354-A3C9-6FC54FE2166A}" id="{FC117CCD-CA85-F3DA-F8F6-115B54D77973}">
    <xltc:text>M2: hypothetical host. Owed service applies only to the indicated fraction; professionals can be paid from day one.</xltc:text>
  </xltc:threadedComment>
  <xltc:threadedComment ref="E15" dT="2026-10-06T14:30:30.432" personId="{FB322883-AC59-4354-A3C9-6FC54FE2166A}" id="{A6B9A49E-FC87-87F7-A18B-1750AA5E7D8D}">
    <xltc:text>M2: hypothetical host. Owed service applies only to the indicated fraction; professionals can be paid from day one.</xltc:text>
  </xltc:threadedComment>
  <xltc:threadedComment ref="F15" dT="2026-10-06T14:30:30.432" personId="{FB322883-AC59-4354-A3C9-6FC54FE2166A}" id="{562479F9-45AD-5EE2-011F-4BE6A924FA06}">
    <xltc:text>M2: hypothetical host. Owed service applies only to the indicated fraction; professionals can be paid from day one.</xltc:text>
  </xltc:threadedComment>
  <xltc:threadedComment ref="B16" dT="2026-10-06T14:30:30.432" personId="{FB322883-AC59-4354-A3C9-6FC54FE2166A}" id="{31229B81-186C-B4BD-418A-43A71B7D46DB}">
    <xltc:text>M2: hypothetical host. Owed service applies only to the indicated fraction; professionals can be paid from day one.</xltc:text>
  </xltc:threadedComment>
  <xltc:threadedComment ref="E16" dT="2026-10-06T14:30:30.432" personId="{FB322883-AC59-4354-A3C9-6FC54FE2166A}" id="{F052F7AA-7FA3-F933-8CB1-4ECD1BC32FCB}">
    <xltc:text>M2: hypothetical host. Owed service applies only to the indicated fraction; professionals can be paid from day one.</xltc:text>
  </xltc:threadedComment>
  <xltc:threadedComment ref="F16" dT="2026-10-06T14:30:30.432" personId="{FB322883-AC59-4354-A3C9-6FC54FE2166A}" id="{8733BA02-8FFF-D154-4269-CD2B51865FD9}">
    <xltc:text>M2: hypothetical host. Owed service applies only to the indicated fraction; professionals can be paid from day one.</xltc:text>
  </xltc:threadedComment>
  <xltc:threadedComment ref="B17" dT="2026-10-06T14:30:30.432" personId="{FB322883-AC59-4354-A3C9-6FC54FE2166A}" id="{D13923E8-6571-7ABD-FB5B-527A9289A22E}">
    <xltc:text>M2: hypothetical host. Owed service applies only to the indicated fraction; professionals can be paid from day one.</xltc:text>
  </xltc:threadedComment>
  <xltc:threadedComment ref="E17" dT="2026-10-06T14:30:30.432" personId="{FB322883-AC59-4354-A3C9-6FC54FE2166A}" id="{68EE0533-2823-A13E-8476-D8F7821FDD8E}">
    <xltc:text>M2: hypothetical host. Owed service applies only to the indicated fraction; professionals can be paid from day one.</xltc:text>
  </xltc:threadedComment>
  <xltc:threadedComment ref="F17" dT="2026-10-06T14:30:30.432" personId="{FB322883-AC59-4354-A3C9-6FC54FE2166A}" id="{8DFF4757-F9E6-CAAB-0B74-8CB299E52012}">
    <xltc:text>M2: hypothetical host. Owed service applies only to the indicated fraction; professionals can be paid from day one.</xltc:text>
  </xltc:threadedComment>
  <xltc:threadedComment ref="B18" dT="2026-10-06T14:30:30.432" personId="{FB322883-AC59-4354-A3C9-6FC54FE2166A}" id="{C20DD2FB-80A4-9B88-A14B-2696145F1C7C}">
    <xltc:text>M2: hypothetical host. Owed service applies only to the indicated fraction; professionals can be paid from day one.</xltc:text>
  </xltc:threadedComment>
  <xltc:threadedComment ref="E18" dT="2026-10-06T14:30:30.432" personId="{FB322883-AC59-4354-A3C9-6FC54FE2166A}" id="{CC57B4AB-D5EC-9711-9B4B-BBFB4E3435B5}">
    <xltc:text>M2: hypothetical host. Owed service applies only to the indicated fraction; professionals can be paid from day one.</xltc:text>
  </xltc:threadedComment>
  <xltc:threadedComment ref="F18" dT="2026-10-06T14:30:30.432" personId="{FB322883-AC59-4354-A3C9-6FC54FE2166A}" id="{E35AAEBE-BCAF-DBF3-9945-44899988BF85}">
    <xltc:text>M2: hypothetical host. Owed service applies only to the indicated fraction; professionals can be paid from day one.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F5" dT="2026-10-06T14:30:30.432" personId="{FB322883-AC59-4354-A3C9-6FC54FE2166A}" id="{DAAE7A07-311E-4800-8D71-1C5153DC8A80}">
    <xltc:text>M2: physical scenario input. Public releases reduce owned stocks; food gaps do not directly determine mortality.</xltc:text>
  </xltc:threadedComment>
  <xltc:threadedComment ref="N5" dT="2026-10-06T14:30:30.432" personId="{FB322883-AC59-4354-A3C9-6FC54FE2166A}" id="{DB450EC3-BEA2-D7C5-D8D8-11337129F794}">
    <xltc:text>M2: physical scenario input. Public releases reduce owned stocks; food gaps do not directly determine mortality.</xltc:text>
  </xltc:threadedComment>
  <xltc:threadedComment ref="F6" dT="2026-10-06T14:30:30.432" personId="{FB322883-AC59-4354-A3C9-6FC54FE2166A}" id="{49B529B2-857F-1FAA-47AF-D25FA121E6F7}">
    <xltc:text>M2: physical scenario input. Public releases reduce owned stocks; food gaps do not directly determine mortality.</xltc:text>
  </xltc:threadedComment>
  <xltc:threadedComment ref="N6" dT="2026-10-06T14:30:30.432" personId="{FB322883-AC59-4354-A3C9-6FC54FE2166A}" id="{A791FB8C-1768-FE6E-C326-06F14F0EB320}">
    <xltc:text>M2: physical scenario input. Public releases reduce owned stocks; food gaps do not directly determine mortality.</xltc:text>
  </xltc:threadedComment>
  <xltc:threadedComment ref="F7" dT="2026-10-06T14:30:30.432" personId="{FB322883-AC59-4354-A3C9-6FC54FE2166A}" id="{4AC5C555-2756-890A-A397-A2A48F780538}">
    <xltc:text>M2: physical scenario input. Public releases reduce owned stocks; food gaps do not directly determine mortality.</xltc:text>
  </xltc:threadedComment>
  <xltc:threadedComment ref="N7" dT="2026-10-06T14:30:30.432" personId="{FB322883-AC59-4354-A3C9-6FC54FE2166A}" id="{2E142349-5C43-122B-F348-3A414006E961}">
    <xltc:text>M2: physical scenario input. Public releases reduce owned stocks; food gaps do not directly determine mortality.</xltc:text>
  </xltc:threadedComment>
  <xltc:threadedComment ref="F8" dT="2026-10-06T14:30:30.432" personId="{FB322883-AC59-4354-A3C9-6FC54FE2166A}" id="{4F19B245-3FAD-17E1-FB96-C76D6159CF36}">
    <xltc:text>M2: physical scenario input. Public releases reduce owned stocks; food gaps do not directly determine mortality.</xltc:text>
  </xltc:threadedComment>
  <xltc:threadedComment ref="N8" dT="2026-10-06T14:30:30.432" personId="{FB322883-AC59-4354-A3C9-6FC54FE2166A}" id="{52AD48BF-CEAD-82C1-090F-A957CDA4EE12}">
    <xltc:text>M2: physical scenario input. Public releases reduce owned stocks; food gaps do not directly determine mortality.</xltc:text>
  </xltc:threadedComment>
  <xltc:threadedComment ref="F9" dT="2026-10-06T14:30:30.432" personId="{FB322883-AC59-4354-A3C9-6FC54FE2166A}" id="{340A0488-F9DC-3B2D-615C-0A2CE08E5E9D}">
    <xltc:text>M2: physical scenario input. Public releases reduce owned stocks; food gaps do not directly determine mortality.</xltc:text>
  </xltc:threadedComment>
  <xltc:threadedComment ref="N9" dT="2026-10-06T14:30:30.432" personId="{FB322883-AC59-4354-A3C9-6FC54FE2166A}" id="{ABC708B0-5558-CDEE-1C27-EB8AB175F7DC}">
    <xltc:text>M2: physical scenario input. Public releases reduce owned stocks; food gaps do not directly determine mortality.</xltc:text>
  </xltc:threadedComment>
  <xltc:threadedComment ref="F10" dT="2026-10-06T14:30:30.432" personId="{FB322883-AC59-4354-A3C9-6FC54FE2166A}" id="{6FC96AA8-43DA-BF79-7D23-1644CC9EE948}">
    <xltc:text>M2: physical scenario input. Public releases reduce owned stocks; food gaps do not directly determine mortality.</xltc:text>
  </xltc:threadedComment>
  <xltc:threadedComment ref="N10" dT="2026-10-06T14:30:30.432" personId="{FB322883-AC59-4354-A3C9-6FC54FE2166A}" id="{E0441719-C23C-CD1E-51AB-022D65EBF81B}">
    <xltc:text>M2: physical scenario input. Public releases reduce owned stocks; food gaps do not directly determine mortality.</xltc:text>
  </xltc:threadedComment>
  <xltc:threadedComment ref="F11" dT="2026-10-06T14:30:30.432" personId="{FB322883-AC59-4354-A3C9-6FC54FE2166A}" id="{0AE56E1A-77A8-8332-D720-D416AB037A6B}">
    <xltc:text>M2: physical scenario input. Public releases reduce owned stocks; food gaps do not directly determine mortality.</xltc:text>
  </xltc:threadedComment>
  <xltc:threadedComment ref="N11" dT="2026-10-06T14:30:30.432" personId="{FB322883-AC59-4354-A3C9-6FC54FE2166A}" id="{164D5750-2FFD-5A88-5C44-872647037D62}">
    <xltc:text>M2: physical scenario input. Public releases reduce owned stocks; food gaps do not directly determine mortality.</xltc:text>
  </xltc:threadedComment>
  <xltc:threadedComment ref="F12" dT="2026-10-06T14:30:30.432" personId="{FB322883-AC59-4354-A3C9-6FC54FE2166A}" id="{1BCF18F8-6095-6DB4-4661-5EA823AC09CE}">
    <xltc:text>M2: physical scenario input. Public releases reduce owned stocks; food gaps do not directly determine mortality.</xltc:text>
  </xltc:threadedComment>
  <xltc:threadedComment ref="N12" dT="2026-10-06T14:30:30.432" personId="{FB322883-AC59-4354-A3C9-6FC54FE2166A}" id="{393E8915-9E96-4B0C-9D6B-6BAFFEA606F8}">
    <xltc:text>M2: physical scenario input. Public releases reduce owned stocks; food gaps do not directly determine mortality.</xltc:text>
  </xltc:threadedComment>
  <xltc:threadedComment ref="F13" dT="2026-10-06T14:30:30.432" personId="{FB322883-AC59-4354-A3C9-6FC54FE2166A}" id="{084DE1AE-87DB-807D-CFF8-48B9611D344B}">
    <xltc:text>M2: physical scenario input. Public releases reduce owned stocks; food gaps do not directly determine mortality.</xltc:text>
  </xltc:threadedComment>
  <xltc:threadedComment ref="N13" dT="2026-10-06T14:30:30.432" personId="{FB322883-AC59-4354-A3C9-6FC54FE2166A}" id="{7E2793FC-5ED0-B009-395B-11EEF9EFF94E}">
    <xltc:text>M2: physical scenario input. Public releases reduce owned stocks; food gaps do not directly determine mortality.</xltc:text>
  </xltc:threadedComment>
  <xltc:threadedComment ref="B2" dT="2026-10-06T14:30:30.433" personId="{FB322883-AC59-4354-A3C9-6FC54FE2166A}" id="{189DB203-04CD-44A9-D9BC-704D06452BEA}">
    <xltc:text>M2: local grain-price scenario multiplier, not a researched universal scarcity elasticity.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B5" dT="2026-10-06T14:30:30.432" personId="{FB322883-AC59-4354-A3C9-6FC54FE2166A}" id="{7DF4D428-F8F1-AF53-9817-DFFA31842CAE}">
    <xltc:text>See the source / limitation in this row: U2 price scale or M2 physical convention.</xltc:text>
  </xltc:threadedComment>
  <xltc:threadedComment ref="B6" dT="2026-10-06T14:30:30.432" personId="{FB322883-AC59-4354-A3C9-6FC54FE2166A}" id="{BB5D84AD-4D20-57C3-6517-97706C797EBB}">
    <xltc:text>See the source / limitation in this row: U2 price scale or M2 physical convention.</xltc:text>
  </xltc:threadedComment>
  <xltc:threadedComment ref="B7" dT="2026-10-06T14:30:30.433" personId="{FB322883-AC59-4354-A3C9-6FC54FE2166A}" id="{7920F913-8331-EBAF-BACF-C58155DAE45B}">
    <xltc:text>See the source / limitation in this row: U2 price scale or M2 physical convention.</xltc:text>
  </xltc:threadedComment>
  <xltc:threadedComment ref="B8" dT="2026-10-06T14:30:30.433" personId="{FB322883-AC59-4354-A3C9-6FC54FE2166A}" id="{069FA682-5113-9B28-FDBE-6C06E2E47A6B}">
    <xltc:text>See the source / limitation in this row: U2 price scale or M2 physical convention.</xltc:text>
  </xltc:threadedComment>
  <xltc:threadedComment ref="B9" dT="2026-10-06T14:30:30.433" personId="{FB322883-AC59-4354-A3C9-6FC54FE2166A}" id="{D6004A3B-2F06-E310-3DA3-30B791E04192}">
    <xltc:text>See the source / limitation in this row: U2 price scale or M2 physical convention.</xltc:text>
  </xltc:threadedComment>
  <xltc:threadedComment ref="B10" dT="2026-10-06T14:30:30.433" personId="{FB322883-AC59-4354-A3C9-6FC54FE2166A}" id="{8923E285-6ADE-1262-B7C2-1ADE66097301}">
    <xltc:text>See the source / limitation in this row: U2 price scale or M2 physical convention.</xltc:text>
  </xltc:threadedComment>
  <xltc:threadedComment ref="B11" dT="2026-10-06T14:30:30.433" personId="{FB322883-AC59-4354-A3C9-6FC54FE2166A}" id="{F6D77CA1-EACC-5717-28E3-E318877882CA}">
    <xltc:text>See the source / limitation in this row: U2 price scale or M2 physical convention.</xltc:text>
  </xltc:threadedComment>
  <xltc:threadedComment ref="B12" dT="2026-10-06T14:30:30.433" personId="{FB322883-AC59-4354-A3C9-6FC54FE2166A}" id="{C2977EF3-D0EE-9554-7455-0C1189F110B3}">
    <xltc:text>See the source / limitation in this row: U2 price scale or M2 physical convention.</xltc:text>
  </xltc:threadedComment>
  <xltc:threadedComment ref="B13" dT="2026-10-06T14:30:30.433" personId="{FB322883-AC59-4354-A3C9-6FC54FE2166A}" id="{9967C95E-5633-A1F6-E5CC-0DB8C7DCE62F}">
    <xltc:text>See the source / limitation in this row: U2 price scale or M2 physical convention.</xltc:text>
  </xltc:threadedComment>
  <xltc:threadedComment ref="B14" dT="2026-10-06T14:30:30.433" personId="{FB322883-AC59-4354-A3C9-6FC54FE2166A}" id="{158B9604-0306-D74F-27FB-73D2CBF542E6}">
    <xltc:text>See the source / limitation in this row: U2 price scale or M2 physical convention.</xltc:text>
  </xltc:threadedComment>
  <xltc:threadedComment ref="B15" dT="2026-10-06T14:30:30.433" personId="{FB322883-AC59-4354-A3C9-6FC54FE2166A}" id="{48EBB821-D147-432D-1784-943D3F4120A4}">
    <xltc:text>See the source / limitation in this row: U2 price scale or M2 physical convention.</xltc:text>
  </xltc:threadedComment>
  <xltc:threadedComment ref="B16" dT="2026-10-06T14:30:30.433" personId="{FB322883-AC59-4354-A3C9-6FC54FE2166A}" id="{2DCE9E42-2DAE-C71A-E732-F4F1FE668561}">
    <xltc:text>See the source / limitation in this row: U2 price scale or M2 physical convention.</xltc:text>
  </xltc:threadedComment>
  <xltc:threadedComment ref="B17" dT="2026-10-06T14:30:30.433" personId="{FB322883-AC59-4354-A3C9-6FC54FE2166A}" id="{52BDA705-F4D2-6412-A817-94994D095C95}">
    <xltc:text>See the source / limitation in this row: U2 price scale or M2 physical convention.</xltc:text>
  </xltc:threadedComment>
  <xltc:threadedComment ref="B18" dT="2026-10-06T14:30:30.433" personId="{FB322883-AC59-4354-A3C9-6FC54FE2166A}" id="{40A13E72-833B-4E5F-C1C5-DF6F7E20C6D3}">
    <xltc:text>See the source / limitation in this row: U2 price scale or M2 physical convention.</xltc:text>
  </xltc:threadedComment>
  <xltc:threadedComment ref="B19" dT="2026-10-06T14:30:30.433" personId="{FB322883-AC59-4354-A3C9-6FC54FE2166A}" id="{882849C9-0FD6-0124-6172-22226A2E09DB}">
    <xltc:text>See the source / limitation in this row: U2 price scale or M2 physical convention.</xltc:text>
  </xltc:threadedComment>
  <xltc:threadedComment ref="B20" dT="2026-10-06T14:30:30.433" personId="{FB322883-AC59-4354-A3C9-6FC54FE2166A}" id="{80C0495F-EB23-63CA-97EA-3E2973FF9F39}">
    <xltc:text>See the source / limitation in this row: U2 price scale or M2 physical convention.</xltc:text>
  </xltc:threadedComment>
  <xltc:threadedComment ref="B25" dT="2026-10-06T14:30:30.433" personId="{FB322883-AC59-4354-A3C9-6FC54FE2166A}" id="{D936C5E2-0491-0ABA-BDB4-A2814F8B81E3}">
    <xltc:text>M2: turn calendar shares, not an asserted Westerosi calendar.</xltc:text>
  </xltc:threadedComment>
  <xltc:threadedComment ref="C25" dT="2026-10-06T14:30:30.433" personId="{FB322883-AC59-4354-A3C9-6FC54FE2166A}" id="{110B21E9-5945-1476-8B71-12C45FBE5392}">
    <xltc:text>M2: turn calendar shares, not an asserted Westerosi calendar.</xltc:text>
  </xltc:threadedComment>
  <xltc:threadedComment ref="D25" dT="2026-10-06T14:30:30.433" personId="{FB322883-AC59-4354-A3C9-6FC54FE2166A}" id="{34EC235A-3AE4-2788-EC96-7484951E5A27}">
    <xltc:text>M2: turn calendar shares, not an asserted Westerosi calendar.</xltc:text>
  </xltc:threadedComment>
  <xltc:threadedComment ref="B26" dT="2026-10-06T14:30:30.433" personId="{FB322883-AC59-4354-A3C9-6FC54FE2166A}" id="{C5CBBE94-373E-9684-EDAC-8C0E7436926D}">
    <xltc:text>M2: turn calendar shares, not an asserted Westerosi calendar.</xltc:text>
  </xltc:threadedComment>
  <xltc:threadedComment ref="C26" dT="2026-10-06T14:30:30.433" personId="{FB322883-AC59-4354-A3C9-6FC54FE2166A}" id="{EB411CFE-6BD6-CD43-231D-0D1A3169F81C}">
    <xltc:text>M2: turn calendar shares, not an asserted Westerosi calendar.</xltc:text>
  </xltc:threadedComment>
  <xltc:threadedComment ref="D26" dT="2026-10-06T14:30:30.433" personId="{FB322883-AC59-4354-A3C9-6FC54FE2166A}" id="{6B424E54-DE60-507D-A584-5AF295584AD2}">
    <xltc:text>M2: turn calendar shares, not an asserted Westerosi calendar.</xltc:text>
  </xltc:threadedComment>
  <xltc:threadedComment ref="B27" dT="2026-10-06T14:30:30.433" personId="{FB322883-AC59-4354-A3C9-6FC54FE2166A}" id="{6CADBB84-E72A-AFDB-7E35-3944563BEE0A}">
    <xltc:text>M2: turn calendar shares, not an asserted Westerosi calendar.</xltc:text>
  </xltc:threadedComment>
  <xltc:threadedComment ref="C27" dT="2026-10-06T14:30:30.433" personId="{FB322883-AC59-4354-A3C9-6FC54FE2166A}" id="{276DCEED-08ED-FEF7-6BAF-9AF3EA757ECA}">
    <xltc:text>M2: turn calendar shares, not an asserted Westerosi calendar.</xltc:text>
  </xltc:threadedComment>
  <xltc:threadedComment ref="D27" dT="2026-10-06T14:30:30.433" personId="{FB322883-AC59-4354-A3C9-6FC54FE2166A}" id="{99927E58-2799-AC20-AE05-FF0D584FDDEA}">
    <xltc:text>M2: turn calendar shares, not an asserted Westerosi calendar.</xltc:text>
  </xltc:threadedComment>
  <xltc:threadedComment ref="B28" dT="2026-10-06T14:30:30.433" personId="{FB322883-AC59-4354-A3C9-6FC54FE2166A}" id="{FC840BCE-26F9-6812-3959-AB7EF4DC6218}">
    <xltc:text>M2: turn calendar shares, not an asserted Westerosi calendar.</xltc:text>
  </xltc:threadedComment>
  <xltc:threadedComment ref="C28" dT="2026-10-06T14:30:30.433" personId="{FB322883-AC59-4354-A3C9-6FC54FE2166A}" id="{E63A0890-0BAC-3721-67A3-BE776A561E19}">
    <xltc:text>M2: turn calendar shares, not an asserted Westerosi calendar.</xltc:text>
  </xltc:threadedComment>
  <xltc:threadedComment ref="D28" dT="2026-10-06T14:30:30.433" personId="{FB322883-AC59-4354-A3C9-6FC54FE2166A}" id="{5D938848-0460-CD6F-2D20-235A4BD08CCD}">
    <xltc:text>M2: turn calendar shares, not an asserted Westerosi calendar.</xltc:text>
  </xltc:threadedComment>
  <xltc:threadedComment ref="B29" dT="2026-10-06T14:30:30.433" personId="{FB322883-AC59-4354-A3C9-6FC54FE2166A}" id="{F0A95009-8EFC-932F-238E-606B3757EA52}">
    <xltc:text>M2: turn calendar shares, not an asserted Westerosi calendar.</xltc:text>
  </xltc:threadedComment>
  <xltc:threadedComment ref="C29" dT="2026-10-06T14:30:30.433" personId="{FB322883-AC59-4354-A3C9-6FC54FE2166A}" id="{9BE20CC2-72EE-EA6E-7B92-F024163A1F14}">
    <xltc:text>M2: turn calendar shares, not an asserted Westerosi calendar.</xltc:text>
  </xltc:threadedComment>
  <xltc:threadedComment ref="D29" dT="2026-10-06T14:30:30.433" personId="{FB322883-AC59-4354-A3C9-6FC54FE2166A}" id="{57792103-1627-525A-0C60-1151FC04AAF6}">
    <xltc:text>M2: turn calendar shares, not an asserted Westerosi calendar.</xltc:text>
  </xltc:threadedComment>
  <xltc:threadedComment ref="B30" dT="2026-10-06T14:30:30.433" personId="{FB322883-AC59-4354-A3C9-6FC54FE2166A}" id="{95E96E83-F2B0-0F30-12C9-D9D6F897CA08}">
    <xltc:text>M2: turn calendar shares, not an asserted Westerosi calendar.</xltc:text>
  </xltc:threadedComment>
  <xltc:threadedComment ref="C30" dT="2026-10-06T14:30:30.433" personId="{FB322883-AC59-4354-A3C9-6FC54FE2166A}" id="{8D2F6860-517F-14B4-E6EE-A51895F266B4}">
    <xltc:text>M2: turn calendar shares, not an asserted Westerosi calendar.</xltc:text>
  </xltc:threadedComment>
  <xltc:threadedComment ref="D30" dT="2026-10-06T14:30:30.433" personId="{FB322883-AC59-4354-A3C9-6FC54FE2166A}" id="{A74AEE64-732C-9FA9-2338-AEC64BFD0D2F}">
    <xltc:text>M2: turn calendar shares, not an asserted Westerosi calendar.</xltc:text>
  </xltc:threadedComment>
  <xltc:threadedComment ref="B31" dT="2026-10-06T14:30:30.433" personId="{FB322883-AC59-4354-A3C9-6FC54FE2166A}" id="{D004DC65-A662-2655-1C0F-8F64BEF5D358}">
    <xltc:text>M2: turn calendar shares, not an asserted Westerosi calendar.</xltc:text>
  </xltc:threadedComment>
  <xltc:threadedComment ref="C31" dT="2026-10-06T14:30:30.433" personId="{FB322883-AC59-4354-A3C9-6FC54FE2166A}" id="{07DB4F65-145C-2A28-1952-C21DC923ACC2}">
    <xltc:text>M2: turn calendar shares, not an asserted Westerosi calendar.</xltc:text>
  </xltc:threadedComment>
  <xltc:threadedComment ref="D31" dT="2026-10-06T14:30:30.433" personId="{FB322883-AC59-4354-A3C9-6FC54FE2166A}" id="{F3249C78-8D46-9457-BF8D-964131A0ED68}">
    <xltc:text>M2: turn calendar shares, not an asserted Westerosi calendar.</xltc:text>
  </xltc:threadedComment>
  <xltc:threadedComment ref="B32" dT="2026-10-06T14:30:30.433" personId="{FB322883-AC59-4354-A3C9-6FC54FE2166A}" id="{FC933D9C-7F75-B96E-E252-5B87F597F974}">
    <xltc:text>M2: turn calendar shares, not an asserted Westerosi calendar.</xltc:text>
  </xltc:threadedComment>
  <xltc:threadedComment ref="C32" dT="2026-10-06T14:30:30.433" personId="{FB322883-AC59-4354-A3C9-6FC54FE2166A}" id="{C781B2D1-5CFB-84E4-345E-409B8E988AA7}">
    <xltc:text>M2: turn calendar shares, not an asserted Westerosi calendar.</xltc:text>
  </xltc:threadedComment>
  <xltc:threadedComment ref="D32" dT="2026-10-06T14:30:30.433" personId="{FB322883-AC59-4354-A3C9-6FC54FE2166A}" id="{C91B24E4-E1F2-C4BF-BAA3-2EEEE7CC70CA}">
    <xltc:text>M2: turn calendar shares, not an asserted Westerosi calendar.</xltc:text>
  </xltc:threadedComment>
  <xltc:threadedComment ref="B33" dT="2026-10-06T14:30:30.433" personId="{FB322883-AC59-4354-A3C9-6FC54FE2166A}" id="{C728BB3D-C3E3-8570-8E5B-5A84042F2BF2}">
    <xltc:text>M2: turn calendar shares, not an asserted Westerosi calendar.</xltc:text>
  </xltc:threadedComment>
  <xltc:threadedComment ref="C33" dT="2026-10-06T14:30:30.433" personId="{FB322883-AC59-4354-A3C9-6FC54FE2166A}" id="{DD9AF11E-AE17-03EE-7DE7-9C72AC0F6E88}">
    <xltc:text>M2: turn calendar shares, not an asserted Westerosi calendar.</xltc:text>
  </xltc:threadedComment>
  <xltc:threadedComment ref="D33" dT="2026-10-06T14:30:30.433" personId="{FB322883-AC59-4354-A3C9-6FC54FE2166A}" id="{4D30C996-6EB2-3106-0E11-9AC45DEEE6C6}">
    <xltc:text>M2: turn calendar shares, not an asserted Westerosi calendar.</xltc:text>
  </xltc:threadedComment>
  <xltc:threadedComment ref="B34" dT="2026-10-06T14:30:30.433" personId="{FB322883-AC59-4354-A3C9-6FC54FE2166A}" id="{7966CCC6-077A-A42D-E2AC-BFFB2EA6837C}">
    <xltc:text>M2: turn calendar shares, not an asserted Westerosi calendar.</xltc:text>
  </xltc:threadedComment>
  <xltc:threadedComment ref="C34" dT="2026-10-06T14:30:30.433" personId="{FB322883-AC59-4354-A3C9-6FC54FE2166A}" id="{9A4CE497-ADB4-1B33-0E8E-17463DBCDA6D}">
    <xltc:text>M2: turn calendar shares, not an asserted Westerosi calendar.</xltc:text>
  </xltc:threadedComment>
  <xltc:threadedComment ref="D34" dT="2026-10-06T14:30:30.433" personId="{FB322883-AC59-4354-A3C9-6FC54FE2166A}" id="{C7414F88-E823-E1A1-C118-CC629FD9DDA6}">
    <xltc:text>M2: turn calendar shares, not an asserted Westerosi calendar.</xltc:text>
  </xltc:threadedComment>
  <xltc:threadedComment ref="B35" dT="2026-10-06T14:30:30.433" personId="{FB322883-AC59-4354-A3C9-6FC54FE2166A}" id="{C4A3DCB3-8C4E-9F85-72B1-8CE8D4D9604C}">
    <xltc:text>M2: turn calendar shares, not an asserted Westerosi calendar.</xltc:text>
  </xltc:threadedComment>
  <xltc:threadedComment ref="C35" dT="2026-10-06T14:30:30.433" personId="{FB322883-AC59-4354-A3C9-6FC54FE2166A}" id="{59952033-46EB-94EE-EF23-AB0B180C0CCA}">
    <xltc:text>M2: turn calendar shares, not an asserted Westerosi calendar.</xltc:text>
  </xltc:threadedComment>
  <xltc:threadedComment ref="D35" dT="2026-10-06T14:30:30.433" personId="{FB322883-AC59-4354-A3C9-6FC54FE2166A}" id="{E27498C5-4946-C5CD-84E5-5DC088E22BF9}">
    <xltc:text>M2: turn calendar shares, not an asserted Westerosi calendar.</xltc:text>
  </xltc:threadedComment>
  <xltc:threadedComment ref="B36" dT="2026-10-06T14:30:30.433" personId="{FB322883-AC59-4354-A3C9-6FC54FE2166A}" id="{47CA73D6-0A7B-F775-8713-326D566F1F27}">
    <xltc:text>M2: turn calendar shares, not an asserted Westerosi calendar.</xltc:text>
  </xltc:threadedComment>
  <xltc:threadedComment ref="C36" dT="2026-10-06T14:30:30.433" personId="{FB322883-AC59-4354-A3C9-6FC54FE2166A}" id="{10B0B660-48AF-35C7-B494-59417FB87D50}">
    <xltc:text>M2: turn calendar shares, not an asserted Westerosi calendar.</xltc:text>
  </xltc:threadedComment>
  <xltc:threadedComment ref="D36" dT="2026-10-06T14:30:30.433" personId="{FB322883-AC59-4354-A3C9-6FC54FE2166A}" id="{3D42F2F6-084B-89AE-536E-D5F5CA852CE3}">
    <xltc:text>M2: turn calendar shares, not an asserted Westerosi calendar.</xltc:text>
  </xltc:threadedComment>
  <xltc:threadedComment ref="B6" dT="2026-10-06T16:06:04.435" personId="{25DF97B0-CF0A-4315-97A5-EDD1D2A9B51B}" id="{7C8E947A-F489-DE07-4EA9-16DD668DE715}">
    <xltc:text>Unit / timing convention. Freight rows 14:16 are NEW M3 prices in actual gold dragons; other named conventions retained. See Sources.</xltc:text>
  </xltc:threadedComment>
  <xltc:threadedComment ref="B8" dT="2026-10-06T16:06:04.438" personId="{25DF97B0-CF0A-4315-97A5-EDD1D2A9B51B}" id="{0BD9FF35-784F-0F59-8329-9EC50B0A95A7}">
    <xltc:text>Unit / timing convention. Freight rows 14:16 are NEW M3 prices in actual gold dragons; other named conventions retained. See Sources.</xltc:text>
  </xltc:threadedComment>
  <xltc:threadedComment ref="B9" dT="2026-10-06T16:06:04.439" personId="{25DF97B0-CF0A-4315-97A5-EDD1D2A9B51B}" id="{F57C301B-2DE5-F5F0-D07E-688EDC4390EC}">
    <xltc:text>Unit / timing convention. Freight rows 14:16 are NEW M3 prices in actual gold dragons; other named conventions retained. See Sources.</xltc:text>
  </xltc:threadedComment>
  <xltc:threadedComment ref="B14" dT="2026-10-06T16:06:04.439" personId="{25DF97B0-CF0A-4315-97A5-EDD1D2A9B51B}" id="{B9EB6722-A3F6-1B5D-6E63-71E5B7F94AAF}">
    <xltc:text>Unit / timing convention. Freight rows 14:16 are NEW M3 prices in actual gold dragons; other named conventions retained. See Sources.</xltc:text>
  </xltc:threadedComment>
  <xltc:threadedComment ref="B15" dT="2026-10-06T16:06:04.44" personId="{25DF97B0-CF0A-4315-97A5-EDD1D2A9B51B}" id="{33A0C4DC-3F35-6CDF-AE5E-6B7A0CD6EB8C}">
    <xltc:text>Unit / timing convention. Freight rows 14:16 are NEW M3 prices in actual gold dragons; other named conventions retained. See Sources.</xltc:text>
  </xltc:threadedComment>
  <xltc:threadedComment ref="B16" dT="2026-10-06T16:06:04.44" personId="{25DF97B0-CF0A-4315-97A5-EDD1D2A9B51B}" id="{6169C39A-F426-B671-55A1-CFA9CC067CAE}">
    <xltc:text>Unit / timing convention. Freight rows 14:16 are NEW M3 prices in actual gold dragons; other named conventions retained. See Sources.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B5" dT="2026-10-06T15:59:23.995" personId="{25DF97B0-CF0A-4315-97A5-EDD1D2A9B51B}" id="{D35657D8-BED6-584E-D22A-9629BD93AE79}">
    <xltc:text>M3: sector proportions retained from the previous model, now used to allocate the revised direct cash component. Not a source-proven breakdown.</xltc:text>
  </xltc:threadedComment>
  <xltc:threadedComment ref="B6" dT="2026-10-06T15:59:23.996" personId="{25DF97B0-CF0A-4315-97A5-EDD1D2A9B51B}" id="{39886D1A-8D2F-2D1A-4CB9-53BF0E3B80E0}">
    <xltc:text>M3: sector proportions retained from the previous model, now used to allocate the revised direct cash component. Not a source-proven breakdown.</xltc:text>
  </xltc:threadedComment>
  <xltc:threadedComment ref="B7" dT="2026-10-06T15:59:23.996" personId="{25DF97B0-CF0A-4315-97A5-EDD1D2A9B51B}" id="{2D05876D-D091-DA1F-C441-BE979AD71EA1}">
    <xltc:text>M3: sector proportions retained from the previous model, now used to allocate the revised direct cash component. Not a source-proven breakdown.</xltc:text>
  </xltc:threadedComment>
  <xltc:threadedComment ref="B8" dT="2026-10-06T15:59:23.997" personId="{25DF97B0-CF0A-4315-97A5-EDD1D2A9B51B}" id="{DF96350C-B2DC-8928-69C9-1BD461BA9964}">
    <xltc:text>M3: sector proportions retained from the previous model, now used to allocate the revised direct cash component. Not a source-proven breakdown.</xltc:text>
  </xltc:threadedComment>
  <xltc:threadedComment ref="B9" dT="2026-10-06T15:59:23.997" personId="{25DF97B0-CF0A-4315-97A5-EDD1D2A9B51B}" id="{A4F9ECD3-FA4C-14B6-F79F-281EE3C5587F}">
    <xltc:text>M3: sector proportions retained from the previous model, now used to allocate the revised direct cash component. Not a source-proven breakdown.</xltc:text>
  </xltc:threadedComment>
  <xltc:threadedComment ref="B10" dT="2026-10-06T15:59:23.997" personId="{25DF97B0-CF0A-4315-97A5-EDD1D2A9B51B}" id="{E190DE2B-B66E-5A59-211F-9E6CD3D3F8B7}">
    <xltc:text>M3: sector proportions retained from the previous model, now used to allocate the revised direct cash component. Not a source-proven breakdown.</xltc:text>
  </xltc:threadedComment>
  <xltc:threadedComment ref="B11" dT="2026-10-06T15:59:23.997" personId="{25DF97B0-CF0A-4315-97A5-EDD1D2A9B51B}" id="{9C0F94C0-B382-1E1C-2C3A-125732DF3569}">
    <xltc:text>M3: sector proportions retained from the previous model, now used to allocate the revised direct cash component. Not a source-proven breakdown.</xltc:text>
  </xltc:threadedComment>
  <xltc:threadedComment ref="B12" dT="2026-10-06T15:59:23.997" personId="{25DF97B0-CF0A-4315-97A5-EDD1D2A9B51B}" id="{B44A9FB7-1472-3606-6492-54FE251BDFE5}">
    <xltc:text>M3: sector proportions retained from the previous model, now used to allocate the revised direct cash component. Not a source-proven breakdown.</xltc:text>
  </xltc:threadedComment>
  <xltc:threadedComment ref="B13" dT="2026-10-06T15:59:23.998" personId="{25DF97B0-CF0A-4315-97A5-EDD1D2A9B51B}" id="{760DE39C-B58C-5126-D196-6C9592395029}">
    <xltc:text>M3: sector proportions retained from the previous model, now used to allocate the revised direct cash component. Not a source-proven breakdown.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C5" dT="2026-10-06T15:59:23.995" personId="{25DF97B0-CF0A-4315-97A5-EDD1D2A9B51B}" id="{48B4921E-EF7A-22A1-6C44-D4101FF6BF97}">
    <xltc:text>M3: planned goods use is 85% of baseline tax quantity, independent of current collection losses. A planning allocation, not a historical norm.</xltc:text>
  </xltc:threadedComment>
  <xltc:threadedComment ref="C6" dT="2026-10-06T15:59:23.996" personId="{25DF97B0-CF0A-4315-97A5-EDD1D2A9B51B}" id="{D98C1473-0361-703C-7B1B-173A18B2C654}">
    <xltc:text>M3: planned goods use is 85% of baseline tax quantity, independent of current collection losses. A planning allocation, not a historical norm.</xltc:text>
  </xltc:threadedComment>
  <xltc:threadedComment ref="C7" dT="2026-10-06T15:59:23.996" personId="{25DF97B0-CF0A-4315-97A5-EDD1D2A9B51B}" id="{D9D0BB3C-D004-2841-40DA-4875FB8D0CAE}">
    <xltc:text>M3: planned goods use is 85% of baseline tax quantity, independent of current collection losses. A planning allocation, not a historical norm.</xltc:text>
  </xltc:threadedComment>
  <xltc:threadedComment ref="C8" dT="2026-10-06T15:59:23.997" personId="{25DF97B0-CF0A-4315-97A5-EDD1D2A9B51B}" id="{0DF28BAC-6445-35E9-12D4-C9BDB5CFDC58}">
    <xltc:text>M3: planned goods use is 85% of baseline tax quantity, independent of current collection losses. A planning allocation, not a historical norm.</xltc:text>
  </xltc:threadedComment>
  <xltc:threadedComment ref="C9" dT="2026-10-06T15:59:23.997" personId="{25DF97B0-CF0A-4315-97A5-EDD1D2A9B51B}" id="{CB94A3ED-6CAB-F41F-52B6-F04879879AD7}">
    <xltc:text>M3: planned goods use is 85% of baseline tax quantity, independent of current collection losses. A planning allocation, not a historical norm.</xltc:text>
  </xltc:threadedComment>
  <xltc:threadedComment ref="C10" dT="2026-10-06T15:59:23.997" personId="{25DF97B0-CF0A-4315-97A5-EDD1D2A9B51B}" id="{2D7755BC-868F-3B49-F730-03CFADC816D0}">
    <xltc:text>M3: planned goods use is 85% of baseline tax quantity, independent of current collection losses. A planning allocation, not a historical norm.</xltc:text>
  </xltc:threadedComment>
  <xltc:threadedComment ref="C11" dT="2026-10-06T15:59:23.997" personId="{25DF97B0-CF0A-4315-97A5-EDD1D2A9B51B}" id="{F0E7E49B-1C0A-204E-B4FC-BA76E1EF038E}">
    <xltc:text>M3: planned goods use is 85% of baseline tax quantity, independent of current collection losses. A planning allocation, not a historical norm.</xltc:text>
  </xltc:threadedComment>
  <xltc:threadedComment ref="C12" dT="2026-10-06T15:59:23.997" personId="{25DF97B0-CF0A-4315-97A5-EDD1D2A9B51B}" id="{3E70AA70-5B53-7673-7A77-55C64D841E17}">
    <xltc:text>M3: planned goods use is 85% of baseline tax quantity, independent of current collection losses. A planning allocation, not a historical norm.</xltc:text>
  </xltc:threadedComment>
  <xltc:threadedComment ref="C13" dT="2026-10-06T15:59:23.998" personId="{25DF97B0-CF0A-4315-97A5-EDD1D2A9B51B}" id="{FCE0E326-C464-FBE3-638C-155856DC71D1}">
    <xltc:text>M3: planned goods use is 85% of baseline tax quantity, independent of current collection losses. A planning allocation, not a historical norm.</xltc:text>
  </xltc:threadedComment>
</xltc:ThreadedComments>
</file>

<file path=xl/threadedcomments/threadedcomment13.xml><?xml version="1.0" encoding="utf-8"?>
<xltc:ThreadedComments xmlns:xltc="http://schemas.microsoft.com/office/spreadsheetml/2018/threadedcomments">
  <xltc:threadedComment ref="D5" dT="2026-10-06T15:59:23.998" personId="{25DF97B0-CF0A-4315-97A5-EDD1D2A9B51B}" id="{7F4B4344-F0B3-4AC6-E193-AB2696B62679}">
    <xltc:text>M3: planning commodity mix and opening non-grain stock assumptions. Quantity proxies are not researched inventories. See the Units column and handbook.</xltc:text>
  </xltc:threadedComment>
  <xltc:threadedComment ref="D6" dT="2026-10-06T15:59:23.998" personId="{25DF97B0-CF0A-4315-97A5-EDD1D2A9B51B}" id="{F332ED85-9688-C296-9729-6510D129EA64}">
    <xltc:text>M3: planning commodity mix and opening non-grain stock assumptions. Quantity proxies are not researched inventories. See the Units column and handbook.</xltc:text>
  </xltc:threadedComment>
  <xltc:threadedComment ref="D7" dT="2026-10-06T15:59:23.998" personId="{25DF97B0-CF0A-4315-97A5-EDD1D2A9B51B}" id="{F1AF16BB-D26C-8276-D9F1-A67B5B887D29}">
    <xltc:text>M3: planning commodity mix and opening non-grain stock assumptions. Quantity proxies are not researched inventories. See the Units column and handbook.</xltc:text>
  </xltc:threadedComment>
  <xltc:threadedComment ref="D8" dT="2026-10-06T15:59:23.998" personId="{25DF97B0-CF0A-4315-97A5-EDD1D2A9B51B}" id="{33E458B7-0BF4-A132-B8B0-A0D1AF9E9487}">
    <xltc:text>M3: planning commodity mix and opening non-grain stock assumptions. Quantity proxies are not researched inventories. See the Units column and handbook.</xltc:text>
  </xltc:threadedComment>
  <xltc:threadedComment ref="D9" dT="2026-10-06T15:59:23.998" personId="{25DF97B0-CF0A-4315-97A5-EDD1D2A9B51B}" id="{F965872D-ABCE-A257-9B12-86A01194E6B6}">
    <xltc:text>M3: planning commodity mix and opening non-grain stock assumptions. Quantity proxies are not researched inventories. See the Units column and handbook.</xltc:text>
  </xltc:threadedComment>
  <xltc:threadedComment ref="D10" dT="2026-10-06T15:59:23.998" personId="{25DF97B0-CF0A-4315-97A5-EDD1D2A9B51B}" id="{42C21C81-862B-3501-3D04-DB2EBDB1DD73}">
    <xltc:text>M3: planning commodity mix and opening non-grain stock assumptions. Quantity proxies are not researched inventories. See the Units column and handbook.</xltc:text>
  </xltc:threadedComment>
  <xltc:threadedComment ref="D11" dT="2026-10-06T15:59:23.998" personId="{25DF97B0-CF0A-4315-97A5-EDD1D2A9B51B}" id="{D85EB226-B2B6-5A22-ADE0-050CC151D235}">
    <xltc:text>M3: planning commodity mix and opening non-grain stock assumptions. Quantity proxies are not researched inventories. See the Units column and handbook.</xltc:text>
  </xltc:threadedComment>
  <xltc:threadedComment ref="D12" dT="2026-10-06T15:59:23.998" personId="{25DF97B0-CF0A-4315-97A5-EDD1D2A9B51B}" id="{54444911-F2A7-3064-5262-966E6F914592}">
    <xltc:text>M3: planning commodity mix and opening non-grain stock assumptions. Quantity proxies are not researched inventories. See the Units column and handbook.</xltc:text>
  </xltc:threadedComment>
  <xltc:threadedComment ref="D13" dT="2026-10-06T15:59:23.998" personId="{25DF97B0-CF0A-4315-97A5-EDD1D2A9B51B}" id="{D61E7767-7388-89A8-B7B7-F55EC548FC7D}">
    <xltc:text>M3: planning commodity mix and opening non-grain stock assumptions. Quantity proxies are not researched inventories. See the Units column and handbook.</xltc:text>
  </xltc:threadedComment>
  <xltc:threadedComment ref="D14" dT="2026-10-06T15:59:23.999" personId="{25DF97B0-CF0A-4315-97A5-EDD1D2A9B51B}" id="{736E32FF-D2EE-2629-0897-DB800E4FE767}">
    <xltc:text>M3: planning commodity mix and opening non-grain stock assumptions. Quantity proxies are not researched inventories. See the Units column and handbook.</xltc:text>
  </xltc:threadedComment>
  <xltc:threadedComment ref="D15" dT="2026-10-06T15:59:23.999" personId="{25DF97B0-CF0A-4315-97A5-EDD1D2A9B51B}" id="{13F4009F-33B6-ED96-91F5-FA630CC2A441}">
    <xltc:text>M3: planning commodity mix and opening non-grain stock assumptions. Quantity proxies are not researched inventories. See the Units column and handbook.</xltc:text>
  </xltc:threadedComment>
  <xltc:threadedComment ref="D16" dT="2026-10-06T15:59:23.999" personId="{25DF97B0-CF0A-4315-97A5-EDD1D2A9B51B}" id="{6F7EDD19-E4A1-E8B9-2D3D-62B3D151C08C}">
    <xltc:text>M3: planning commodity mix and opening non-grain stock assumptions. Quantity proxies are not researched inventories. See the Units column and handbook.</xltc:text>
  </xltc:threadedComment>
  <xltc:threadedComment ref="D17" dT="2026-10-06T15:59:23.999" personId="{25DF97B0-CF0A-4315-97A5-EDD1D2A9B51B}" id="{F44A7F95-0792-C5D9-CF9A-96FE9CB284D6}">
    <xltc:text>M3: planning commodity mix and opening non-grain stock assumptions. Quantity proxies are not researched inventories. See the Units column and handbook.</xltc:text>
  </xltc:threadedComment>
  <xltc:threadedComment ref="D18" dT="2026-10-06T15:59:23.999" personId="{25DF97B0-CF0A-4315-97A5-EDD1D2A9B51B}" id="{A94CB711-7749-2B86-274B-D30E91CC2D7E}">
    <xltc:text>M3: planning commodity mix and opening non-grain stock assumptions. Quantity proxies are not researched inventories. See the Units column and handbook.</xltc:text>
  </xltc:threadedComment>
  <xltc:threadedComment ref="D19" dT="2026-10-06T15:59:23.999" personId="{25DF97B0-CF0A-4315-97A5-EDD1D2A9B51B}" id="{AA15B8F4-2E2A-AC86-EFBE-640D705F8EB1}">
    <xltc:text>M3: planning commodity mix and opening non-grain stock assumptions. Quantity proxies are not researched inventories. See the Units column and handbook.</xltc:text>
  </xltc:threadedComment>
  <xltc:threadedComment ref="D20" dT="2026-10-06T15:59:23.999" personId="{25DF97B0-CF0A-4315-97A5-EDD1D2A9B51B}" id="{78DBBDB7-FFC5-64E8-290C-C61BC59709D7}">
    <xltc:text>M3: planning commodity mix and opening non-grain stock assumptions. Quantity proxies are not researched inventories. See the Units column and handbook.</xltc:text>
  </xltc:threadedComment>
  <xltc:threadedComment ref="D21" dT="2026-10-06T15:59:23.999" personId="{25DF97B0-CF0A-4315-97A5-EDD1D2A9B51B}" id="{8EBEFB60-74F3-B4D1-041F-2C91C60B1ADA}">
    <xltc:text>M3: planning commodity mix and opening non-grain stock assumptions. Quantity proxies are not researched inventories. See the Units column and handbook.</xltc:text>
  </xltc:threadedComment>
  <xltc:threadedComment ref="D22" dT="2026-10-06T15:59:23.999" personId="{25DF97B0-CF0A-4315-97A5-EDD1D2A9B51B}" id="{D76DE651-EEA6-D2D0-263C-AE599B493FA5}">
    <xltc:text>M3: planning commodity mix and opening non-grain stock assumptions. Quantity proxies are not researched inventories. See the Units column and handbook.</xltc:text>
  </xltc:threadedComment>
  <xltc:threadedComment ref="D23" dT="2026-10-06T15:59:23.999" personId="{25DF97B0-CF0A-4315-97A5-EDD1D2A9B51B}" id="{737E91F7-7250-2977-8C76-F21F2F2D68E8}">
    <xltc:text>M3: planning commodity mix and opening non-grain stock assumptions. Quantity proxies are not researched inventories. See the Units column and handbook.</xltc:text>
  </xltc:threadedComment>
  <xltc:threadedComment ref="D24" dT="2026-10-06T15:59:23.999" personId="{25DF97B0-CF0A-4315-97A5-EDD1D2A9B51B}" id="{91811F8A-8919-171F-0D44-D56D8CF1BC81}">
    <xltc:text>M3: planning commodity mix and opening non-grain stock assumptions. Quantity proxies are not researched inventories. See the Units column and handbook.</xltc:text>
  </xltc:threadedComment>
  <xltc:threadedComment ref="D25" dT="2026-10-06T15:59:23.999" personId="{25DF97B0-CF0A-4315-97A5-EDD1D2A9B51B}" id="{3DCF0FC9-F474-AE8F-A18D-5947676B2673}">
    <xltc:text>M3: planning commodity mix and opening non-grain stock assumptions. Quantity proxies are not researched inventories. See the Units column and handbook.</xltc:text>
  </xltc:threadedComment>
  <xltc:threadedComment ref="D26" dT="2026-10-06T15:59:23.999" personId="{25DF97B0-CF0A-4315-97A5-EDD1D2A9B51B}" id="{8E8A4DBD-11DA-2BA1-E63C-0C16B77CC1FA}">
    <xltc:text>M3: planning commodity mix and opening non-grain stock assumptions. Quantity proxies are not researched inventories. See the Units column and handbook.</xltc:text>
  </xltc:threadedComment>
  <xltc:threadedComment ref="D27" dT="2026-10-06T15:59:23.999" personId="{25DF97B0-CF0A-4315-97A5-EDD1D2A9B51B}" id="{0777125A-3D03-8C41-B4E1-C7CD5D7577B1}">
    <xltc:text>M3: planning commodity mix and opening non-grain stock assumptions. Quantity proxies are not researched inventories. See the Units column and handbook.</xltc:text>
  </xltc:threadedComment>
  <xltc:threadedComment ref="D28" dT="2026-10-06T15:59:23.999" personId="{25DF97B0-CF0A-4315-97A5-EDD1D2A9B51B}" id="{14CF3133-7BCC-AADC-2EEC-7E6E8EB205D4}">
    <xltc:text>M3: planning commodity mix and opening non-grain stock assumptions. Quantity proxies are not researched inventories. See the Units column and handbook.</xltc:text>
  </xltc:threadedComment>
  <xltc:threadedComment ref="D29" dT="2026-10-06T15:59:23.999" personId="{25DF97B0-CF0A-4315-97A5-EDD1D2A9B51B}" id="{AC0D705B-181C-D2C2-6477-0635B06EC0E1}">
    <xltc:text>M3: planning commodity mix and opening non-grain stock assumptions. Quantity proxies are not researched inventories. See the Units column and handbook.</xltc:text>
  </xltc:threadedComment>
  <xltc:threadedComment ref="D30" dT="2026-10-06T15:59:23.999" personId="{25DF97B0-CF0A-4315-97A5-EDD1D2A9B51B}" id="{7D06F39B-DD38-AE76-F41A-D77FAA673B15}">
    <xltc:text>M3: planning commodity mix and opening non-grain stock assumptions. Quantity proxies are not researched inventories. See the Units column and handbook.</xltc:text>
  </xltc:threadedComment>
  <xltc:threadedComment ref="D31" dT="2026-10-06T15:59:23.999" personId="{25DF97B0-CF0A-4315-97A5-EDD1D2A9B51B}" id="{5C91DB68-0F2F-1E5A-DC17-0D31E0450A00}">
    <xltc:text>M3: planning commodity mix and opening non-grain stock assumptions. Quantity proxies are not researched inventories. See the Units column and handbook.</xltc:text>
  </xltc:threadedComment>
  <xltc:threadedComment ref="D32" dT="2026-10-06T15:59:23.999" personId="{25DF97B0-CF0A-4315-97A5-EDD1D2A9B51B}" id="{48081785-FA43-7BB7-C9CD-1F338A176D9E}">
    <xltc:text>M3: planning commodity mix and opening non-grain stock assumptions. Quantity proxies are not researched inventories. See the Units column and handbook.</xltc:text>
  </xltc:threadedComment>
  <xltc:threadedComment ref="D33" dT="2026-10-06T15:59:23.999" personId="{25DF97B0-CF0A-4315-97A5-EDD1D2A9B51B}" id="{0F8039DC-B82C-4621-D791-4A55303EA6B8}">
    <xltc:text>M3: planning commodity mix and opening non-grain stock assumptions. Quantity proxies are not researched inventories. See the Units column and handbook.</xltc:text>
  </xltc:threadedComment>
  <xltc:threadedComment ref="D34" dT="2026-10-06T15:59:23.999" personId="{25DF97B0-CF0A-4315-97A5-EDD1D2A9B51B}" id="{10FC9038-6C54-CB17-61DA-693A15FEDA00}">
    <xltc:text>M3: planning commodity mix and opening non-grain stock assumptions. Quantity proxies are not researched inventories. See the Units column and handbook.</xltc:text>
  </xltc:threadedComment>
  <xltc:threadedComment ref="D35" dT="2026-10-06T15:59:23.999" personId="{25DF97B0-CF0A-4315-97A5-EDD1D2A9B51B}" id="{34E61DBC-1367-D850-C629-6602E7D878A0}">
    <xltc:text>M3: planning commodity mix and opening non-grain stock assumptions. Quantity proxies are not researched inventories. See the Units column and handbook.</xltc:text>
  </xltc:threadedComment>
  <xltc:threadedComment ref="D36" dT="2026-10-06T15:59:23.999" personId="{25DF97B0-CF0A-4315-97A5-EDD1D2A9B51B}" id="{92771868-64C4-242D-18F8-F8DFE69457B1}">
    <xltc:text>M3: planning commodity mix and opening non-grain stock assumptions. Quantity proxies are not researched inventories. See the Units column and handbook.</xltc:text>
  </xltc:threadedComment>
  <xltc:threadedComment ref="D37" dT="2026-10-06T15:59:23.999" personId="{25DF97B0-CF0A-4315-97A5-EDD1D2A9B51B}" id="{6167D0A4-F770-2194-CEAF-2E76F8EF5D95}">
    <xltc:text>M3: planning commodity mix and opening non-grain stock assumptions. Quantity proxies are not researched inventories. See the Units column and handbook.</xltc:text>
  </xltc:threadedComment>
  <xltc:threadedComment ref="D38" dT="2026-10-06T15:59:23.999" personId="{25DF97B0-CF0A-4315-97A5-EDD1D2A9B51B}" id="{1B7BBD90-3F8E-042A-654C-B71F6AEC2BF5}">
    <xltc:text>M3: planning commodity mix and opening non-grain stock assumptions. Quantity proxies are not researched inventories. See the Units column and handbook.</xltc:text>
  </xltc:threadedComment>
  <xltc:threadedComment ref="D39" dT="2026-10-06T15:59:23.999" personId="{25DF97B0-CF0A-4315-97A5-EDD1D2A9B51B}" id="{28C76AD1-EA97-57CD-8D6E-F57BA9A20D2C}">
    <xltc:text>M3: planning commodity mix and opening non-grain stock assumptions. Quantity proxies are not researched inventories. See the Units column and handbook.</xltc:text>
  </xltc:threadedComment>
  <xltc:threadedComment ref="D40" dT="2026-10-06T15:59:23.999" personId="{25DF97B0-CF0A-4315-97A5-EDD1D2A9B51B}" id="{32931FF3-535B-B50A-15B3-71529E51119A}">
    <xltc:text>M3: planning commodity mix and opening non-grain stock assumptions. Quantity proxies are not researched inventories. See the Units column and handbook.</xltc:text>
  </xltc:threadedComment>
  <xltc:threadedComment ref="D41" dT="2026-10-06T15:59:23.999" personId="{25DF97B0-CF0A-4315-97A5-EDD1D2A9B51B}" id="{A9BD1B8D-FEF0-0A9B-86DE-BE6D585F1673}">
    <xltc:text>M3: planning commodity mix and opening non-grain stock assumptions. Quantity proxies are not researched inventories. See the Units column and handbook.</xltc:text>
  </xltc:threadedComment>
  <xltc:threadedComment ref="D42" dT="2026-10-06T15:59:23.999" personId="{25DF97B0-CF0A-4315-97A5-EDD1D2A9B51B}" id="{8E444670-4DAD-15AD-E30B-BEFFEF67B637}">
    <xltc:text>M3: planning commodity mix and opening non-grain stock assumptions. Quantity proxies are not researched inventories. See the Units column and handbook.</xltc:text>
  </xltc:threadedComment>
  <xltc:threadedComment ref="D43" dT="2026-10-06T15:59:23.999" personId="{25DF97B0-CF0A-4315-97A5-EDD1D2A9B51B}" id="{A4C6E3A0-3C46-F3E0-5757-7AF7E9695327}">
    <xltc:text>M3: planning commodity mix and opening non-grain stock assumptions. Quantity proxies are not researched inventories. See the Units column and handbook.</xltc:text>
  </xltc:threadedComment>
  <xltc:threadedComment ref="D44" dT="2026-10-06T15:59:23.999" personId="{25DF97B0-CF0A-4315-97A5-EDD1D2A9B51B}" id="{F80A70B9-B300-B9E7-E843-0F5C4819CF40}">
    <xltc:text>M3: planning commodity mix and opening non-grain stock assumptions. Quantity proxies are not researched inventories. See the Units column and handbook.</xltc:text>
  </xltc:threadedComment>
  <xltc:threadedComment ref="D45" dT="2026-10-06T15:59:23.999" personId="{25DF97B0-CF0A-4315-97A5-EDD1D2A9B51B}" id="{18125608-5913-2FE5-147C-FCB10F9C1B47}">
    <xltc:text>M3: planning commodity mix and opening non-grain stock assumptions. Quantity proxies are not researched inventories. See the Units column and handbook.</xltc:text>
  </xltc:threadedComment>
  <xltc:threadedComment ref="D46" dT="2026-10-06T15:59:23.999" personId="{25DF97B0-CF0A-4315-97A5-EDD1D2A9B51B}" id="{D090297A-D151-24EC-9B45-7C7BF1801CA4}">
    <xltc:text>M3: planning commodity mix and opening non-grain stock assumptions. Quantity proxies are not researched inventories. See the Units column and handbook.</xltc:text>
  </xltc:threadedComment>
  <xltc:threadedComment ref="D47" dT="2026-10-06T15:59:23.999" personId="{25DF97B0-CF0A-4315-97A5-EDD1D2A9B51B}" id="{39B37B3F-F8E0-9BBC-306E-0FB77AC96635}">
    <xltc:text>M3: planning commodity mix and opening non-grain stock assumptions. Quantity proxies are not researched inventories. See the Units column and handbook.</xltc:text>
  </xltc:threadedComment>
  <xltc:threadedComment ref="D48" dT="2026-10-06T15:59:23.999" personId="{25DF97B0-CF0A-4315-97A5-EDD1D2A9B51B}" id="{FB12A60F-904F-1882-81CA-0DF41687309B}">
    <xltc:text>M3: planning commodity mix and opening non-grain stock assumptions. Quantity proxies are not researched inventories. See the Units column and handbook.</xltc:text>
  </xltc:threadedComment>
  <xltc:threadedComment ref="D49" dT="2026-10-06T15:59:23.999" personId="{25DF97B0-CF0A-4315-97A5-EDD1D2A9B51B}" id="{1076FF6A-F9A1-A840-F6BC-54390907CDCE}">
    <xltc:text>M3: planning commodity mix and opening non-grain stock assumptions. Quantity proxies are not researched inventories. See the Units column and handbook.</xltc:text>
  </xltc:threadedComment>
  <xltc:threadedComment ref="D50" dT="2026-10-06T15:59:23.999" personId="{25DF97B0-CF0A-4315-97A5-EDD1D2A9B51B}" id="{73295119-10A8-B725-CFA2-1319096875CF}">
    <xltc:text>M3: planning commodity mix and opening non-grain stock assumptions. Quantity proxies are not researched inventories. See the Units column and handbook.</xltc:text>
  </xltc:threadedComment>
  <xltc:threadedComment ref="D51" dT="2026-10-06T15:59:23.999" personId="{25DF97B0-CF0A-4315-97A5-EDD1D2A9B51B}" id="{9465B71F-0EF4-7247-5474-0F6217872780}">
    <xltc:text>M3: planning commodity mix and opening non-grain stock assumptions. Quantity proxies are not researched inventories. See the Units column and handbook.</xltc:text>
  </xltc:threadedComment>
  <xltc:threadedComment ref="D52" dT="2026-10-06T15:59:23.999" personId="{25DF97B0-CF0A-4315-97A5-EDD1D2A9B51B}" id="{AC64E96B-CE0D-ECE6-27CF-105416386C7C}">
    <xltc:text>M3: planning commodity mix and opening non-grain stock assumptions. Quantity proxies are not researched inventories. See the Units column and handbook.</xltc:text>
  </xltc:threadedComment>
  <xltc:threadedComment ref="D53" dT="2026-10-06T15:59:23.999" personId="{25DF97B0-CF0A-4315-97A5-EDD1D2A9B51B}" id="{C7ABBEBB-9FEA-6F60-DCD9-42332D43BAEC}">
    <xltc:text>M3: planning commodity mix and opening non-grain stock assumptions. Quantity proxies are not researched inventories. See the Units column and handbook.</xltc:text>
  </xltc:threadedComment>
  <xltc:threadedComment ref="D54" dT="2026-10-06T15:59:23.999" personId="{25DF97B0-CF0A-4315-97A5-EDD1D2A9B51B}" id="{343124BA-06F6-487D-D2D1-91C4EE50FAD0}">
    <xltc:text>M3: planning commodity mix and opening non-grain stock assumptions. Quantity proxies are not researched inventories. See the Units column and handbook.</xltc:text>
  </xltc:threadedComment>
  <xltc:threadedComment ref="D55" dT="2026-10-06T15:59:23.999" personId="{25DF97B0-CF0A-4315-97A5-EDD1D2A9B51B}" id="{E649421D-1294-13E0-2A4F-143B7A6CB9A2}">
    <xltc:text>M3: planning commodity mix and opening non-grain stock assumptions. Quantity proxies are not researched inventories. See the Units column and handbook.</xltc:text>
  </xltc:threadedComment>
  <xltc:threadedComment ref="D56" dT="2026-10-06T15:59:23.999" personId="{25DF97B0-CF0A-4315-97A5-EDD1D2A9B51B}" id="{D0DB5ACD-F087-10DC-0B32-7FCFD52ACB52}">
    <xltc:text>M3: planning commodity mix and opening non-grain stock assumptions. Quantity proxies are not researched inventories. See the Units column and handbook.</xltc:text>
  </xltc:threadedComment>
  <xltc:threadedComment ref="D57" dT="2026-10-06T15:59:23.999" personId="{25DF97B0-CF0A-4315-97A5-EDD1D2A9B51B}" id="{35F26D67-85F4-1A6A-B116-873C3410563E}">
    <xltc:text>M3: planning commodity mix and opening non-grain stock assumptions. Quantity proxies are not researched inventories. See the Units column and handbook.</xltc:text>
  </xltc:threadedComment>
  <xltc:threadedComment ref="D58" dT="2026-10-06T15:59:23.999" personId="{25DF97B0-CF0A-4315-97A5-EDD1D2A9B51B}" id="{4880BC0B-E9F8-EEBD-8B2B-9C6402B4CE64}">
    <xltc:text>M3: planning commodity mix and opening non-grain stock assumptions. Quantity proxies are not researched inventories. See the Units column and handbook.</xltc:text>
  </xltc:threadedComment>
  <xltc:threadedComment ref="D59" dT="2026-10-06T15:59:23.999" personId="{25DF97B0-CF0A-4315-97A5-EDD1D2A9B51B}" id="{5CB5DB65-DCF3-BE4D-DD14-E47427EE6D8A}">
    <xltc:text>M3: planning commodity mix and opening non-grain stock assumptions. Quantity proxies are not researched inventories. See the Units column and handbook.</xltc:text>
  </xltc:threadedComment>
  <xltc:threadedComment ref="D60" dT="2026-10-06T15:59:23.999" personId="{25DF97B0-CF0A-4315-97A5-EDD1D2A9B51B}" id="{2ACDBB63-631B-7AC2-0178-B3A76DFFAC06}">
    <xltc:text>M3: planning commodity mix and opening non-grain stock assumptions. Quantity proxies are not researched inventories. See the Units column and handbook.</xltc:text>
  </xltc:threadedComment>
  <xltc:threadedComment ref="D61" dT="2026-10-06T15:59:23.999" personId="{25DF97B0-CF0A-4315-97A5-EDD1D2A9B51B}" id="{9281A940-9738-DBEE-D62D-0E0D27070C38}">
    <xltc:text>M3: planning commodity mix and opening non-grain stock assumptions. Quantity proxies are not researched inventories. See the Units column and handbook.</xltc:text>
  </xltc:threadedComment>
  <xltc:threadedComment ref="D62" dT="2026-10-06T15:59:23.999" personId="{25DF97B0-CF0A-4315-97A5-EDD1D2A9B51B}" id="{B548DF15-B464-1514-EB57-185C58EBB3FC}">
    <xltc:text>M3: planning commodity mix and opening non-grain stock assumptions. Quantity proxies are not researched inventories. See the Units column and handbook.</xltc:text>
  </xltc:threadedComment>
  <xltc:threadedComment ref="D63" dT="2026-10-06T15:59:23.999" personId="{25DF97B0-CF0A-4315-97A5-EDD1D2A9B51B}" id="{B050664A-A985-A2AB-5E1F-623AA42E43DE}">
    <xltc:text>M3: planning commodity mix and opening non-grain stock assumptions. Quantity proxies are not researched inventories. See the Units column and handbook.</xltc:text>
  </xltc:threadedComment>
  <xltc:threadedComment ref="D64" dT="2026-10-06T15:59:23.999" personId="{25DF97B0-CF0A-4315-97A5-EDD1D2A9B51B}" id="{98297052-5E0D-94EE-121A-581DD08CDE8E}">
    <xltc:text>M3: planning commodity mix and opening non-grain stock assumptions. Quantity proxies are not researched inventories. See the Units column and handbook.</xltc:text>
  </xltc:threadedComment>
  <xltc:threadedComment ref="D65" dT="2026-10-06T15:59:23.999" personId="{25DF97B0-CF0A-4315-97A5-EDD1D2A9B51B}" id="{298030EB-C3DE-7675-D957-47A59478EC9B}">
    <xltc:text>M3: planning commodity mix and opening non-grain stock assumptions. Quantity proxies are not researched inventories. See the Units column and handbook.</xltc:text>
  </xltc:threadedComment>
  <xltc:threadedComment ref="D66" dT="2026-10-06T15:59:23.999" personId="{25DF97B0-CF0A-4315-97A5-EDD1D2A9B51B}" id="{3D7601F0-19A2-97E0-AE78-916DA0F4C6AC}">
    <xltc:text>M3: planning commodity mix and opening non-grain stock assumptions. Quantity proxies are not researched inventories. See the Units column and handbook.</xltc:text>
  </xltc:threadedComment>
  <xltc:threadedComment ref="D67" dT="2026-10-06T15:59:23.999" personId="{25DF97B0-CF0A-4315-97A5-EDD1D2A9B51B}" id="{07FBE86A-FEEF-3F71-64CE-97D976488E6F}">
    <xltc:text>M3: planning commodity mix and opening non-grain stock assumptions. Quantity proxies are not researched inventories. See the Units column and handbook.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f4b95d73f2774ecc" /><Relationship Type="http://schemas.openxmlformats.org/officeDocument/2006/relationships/vmlDrawing" Target="/xl/drawings/vmldrawing.vml" Id="R262475a09b1145ef" /><Relationship Type="http://schemas.microsoft.com/office/2017/10/relationships/threadedComment" Target="/xl/threadedcomments/threadedcomment.xml" Id="Rf532c3f8fe1f41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b3baa96055104b8c" /><Relationship Type="http://schemas.openxmlformats.org/officeDocument/2006/relationships/vmlDrawing" Target="/xl/drawings/vmldrawing2.vml" Id="R55a25f3dde5e49c3" /><Relationship Type="http://schemas.microsoft.com/office/2017/10/relationships/threadedComment" Target="/xl/threadedcomments/threadedcomment2.xml" Id="R3f3db4b0ea894d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fc5f577cffc644a3" /><Relationship Type="http://schemas.openxmlformats.org/officeDocument/2006/relationships/vmlDrawing" Target="/xl/drawings/vmldrawing3.vml" Id="R9ae6bdccb3a24a91" /><Relationship Type="http://schemas.microsoft.com/office/2017/10/relationships/threadedComment" Target="/xl/threadedcomments/threadedcomment3.xml" Id="Rcce8ccb2b25741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9cb979c7c4ba4dfd" /><Relationship Type="http://schemas.openxmlformats.org/officeDocument/2006/relationships/vmlDrawing" Target="/xl/drawings/vmldrawing4.vml" Id="R19ca7fd0eff64bbd" /><Relationship Type="http://schemas.microsoft.com/office/2017/10/relationships/threadedComment" Target="/xl/threadedcomments/threadedcomment4.xml" Id="R667d9afaa63f47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d1e75e3bcf45405a" /><Relationship Type="http://schemas.openxmlformats.org/officeDocument/2006/relationships/vmlDrawing" Target="/xl/drawings/vmldrawing5.vml" Id="R7bfdf5b912124c45" /><Relationship Type="http://schemas.microsoft.com/office/2017/10/relationships/threadedComment" Target="/xl/threadedcomments/threadedcomment5.xml" Id="Rf7bffcb5bfa14c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6.xml" Id="R57d8bcec536c482e" /><Relationship Type="http://schemas.openxmlformats.org/officeDocument/2006/relationships/vmlDrawing" Target="/xl/drawings/vmldrawing6.vml" Id="R370363c249194b61" /><Relationship Type="http://schemas.microsoft.com/office/2017/10/relationships/threadedComment" Target="/xl/threadedcomments/threadedcomment6.xml" Id="R7dceb5e15e5442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7.xml" Id="Re24a88ae353d4326" /><Relationship Type="http://schemas.openxmlformats.org/officeDocument/2006/relationships/vmlDrawing" Target="/xl/drawings/vmldrawing7.vml" Id="R9b89eecd0d494ad9" /><Relationship Type="http://schemas.microsoft.com/office/2017/10/relationships/threadedComment" Target="/xl/threadedcomments/threadedcomment7.xml" Id="Rfdb37a1a968444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8.xml" Id="Rba3aa3a266f04eb3" /><Relationship Type="http://schemas.openxmlformats.org/officeDocument/2006/relationships/vmlDrawing" Target="/xl/drawings/vmldrawing8.vml" Id="R52dbddd1a95d493c" /><Relationship Type="http://schemas.microsoft.com/office/2017/10/relationships/threadedComment" Target="/xl/threadedcomments/threadedcomment8.xml" Id="R5ec20d1df04248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9.xml" Id="R299d5425ba4947e8" /><Relationship Type="http://schemas.openxmlformats.org/officeDocument/2006/relationships/vmlDrawing" Target="/xl/drawings/vmldrawing9.vml" Id="R6f47c51217b741c9" /><Relationship Type="http://schemas.microsoft.com/office/2017/10/relationships/threadedComment" Target="/xl/threadedcomments/threadedcomment9.xml" Id="R552be2ddf06e45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0.xml" Id="R67233db7b9ae4b0d" /><Relationship Type="http://schemas.openxmlformats.org/officeDocument/2006/relationships/vmlDrawing" Target="/xl/drawings/vmldrawing10.vml" Id="R2fbb9365ec6e4d88" /><Relationship Type="http://schemas.microsoft.com/office/2017/10/relationships/threadedComment" Target="/xl/threadedcomments/threadedcomment10.xml" Id="Rca2c3b6e8930463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11.xml" Id="Rde6e7b3eec6b4f97" /><Relationship Type="http://schemas.openxmlformats.org/officeDocument/2006/relationships/vmlDrawing" Target="/xl/drawings/vmldrawing11.vml" Id="R229c0485324e4b91" /><Relationship Type="http://schemas.microsoft.com/office/2017/10/relationships/threadedComment" Target="/xl/threadedcomments/threadedcomment11.xml" Id="Rc28a3077cb6e4de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comments" Target="/xl/comments12.xml" Id="Rfc6e5707760a4a0d" /><Relationship Type="http://schemas.openxmlformats.org/officeDocument/2006/relationships/vmlDrawing" Target="/xl/drawings/vmldrawing12.vml" Id="R3a68a15043a84aee" /><Relationship Type="http://schemas.microsoft.com/office/2017/10/relationships/threadedComment" Target="/xl/threadedcomments/threadedcomment12.xml" Id="Raace5bd11fd9426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comments" Target="/xl/comments13.xml" Id="R1f3364d6802947da" /><Relationship Type="http://schemas.openxmlformats.org/officeDocument/2006/relationships/vmlDrawing" Target="/xl/drawings/vmldrawing13.vml" Id="R19d6542cf6f64051" /><Relationship Type="http://schemas.microsoft.com/office/2017/10/relationships/threadedComment" Target="/xl/threadedcomments/threadedcomment13.xml" Id="R61d9a4feb1e546d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243" t="str">
        <x:v>WESTEROS 283 AC | Revised model, version 2</x:v>
      </x:c>
      <x:c r="B1" s="243"/>
      <x:c r="C1" s="243"/>
      <x:c r="D1" s="243"/>
      <x:c r="E1" s="243"/>
      <x:c r="F1" s="243"/>
      <x:c r="G1" s="243"/>
      <x:c r="H1" s="243"/>
      <x:c r="I1" s="244"/>
    </x:row>
    <x:row r="2">
      <x:c r="A2" s="244"/>
      <x:c r="B2" s="244"/>
      <x:c r="C2" s="244"/>
      <x:c r="D2" s="244"/>
      <x:c r="E2" s="244"/>
      <x:c r="F2" s="244"/>
      <x:c r="G2" s="244"/>
      <x:c r="H2" s="244"/>
      <x:c r="I2" s="244"/>
    </x:row>
    <x:row r="3">
      <x:c r="A3" s="244"/>
      <x:c r="B3" s="244"/>
      <x:c r="C3" s="244"/>
      <x:c r="D3" s="244"/>
      <x:c r="E3" s="244"/>
      <x:c r="F3" s="244"/>
      <x:c r="G3" s="244"/>
      <x:c r="H3" s="244"/>
      <x:c r="I3" s="244"/>
    </x:row>
    <x:row r="4" ht="22" customHeight="1">
      <x:c r="A4" s="245" t="str">
        <x:v>PURPOSE</x:v>
      </x:c>
      <x:c r="B4" s="246" t="str">
        <x:v>All nine regional accounts, on the agreed higher-income scale. Start with Dashboard: cash above, total income below.</x:v>
      </x:c>
      <x:c r="C4" s="246"/>
      <x:c r="D4" s="246"/>
      <x:c r="E4" s="246"/>
      <x:c r="F4" s="246"/>
      <x:c r="G4" s="246"/>
      <x:c r="H4" s="246"/>
      <x:c r="I4" s="251"/>
    </x:row>
    <x:row r="5" ht="28" customHeight="1">
      <x:c r="A5" s="247"/>
      <x:c r="B5" s="248"/>
      <x:c r="C5" s="248"/>
      <x:c r="D5" s="248"/>
      <x:c r="E5" s="248"/>
      <x:c r="F5" s="248"/>
      <x:c r="G5" s="248"/>
      <x:c r="H5" s="248"/>
      <x:c r="I5" s="251"/>
    </x:row>
    <x:row r="6" ht="28" customHeight="1">
      <x:c r="A6" s="247"/>
      <x:c r="B6" s="247"/>
      <x:c r="C6" s="247"/>
      <x:c r="D6" s="247"/>
      <x:c r="E6" s="247"/>
      <x:c r="F6" s="247"/>
      <x:c r="G6" s="247"/>
      <x:c r="H6" s="247"/>
      <x:c r="I6" s="244"/>
    </x:row>
    <x:row r="7" ht="28" customHeight="1">
      <x:c r="A7" s="249" t="str">
        <x:v>MONEY</x:v>
      </x:c>
      <x:c r="B7" s="248" t="str">
        <x:v>G means an actual gold dragon. The older DA conversion is retained only for audit; v2 active prices are in gold dragons.</x:v>
      </x:c>
      <x:c r="C7" s="248"/>
      <x:c r="D7" s="248"/>
      <x:c r="E7" s="248"/>
      <x:c r="F7" s="248"/>
      <x:c r="G7" s="248"/>
      <x:c r="H7" s="248"/>
      <x:c r="I7" s="251"/>
    </x:row>
    <x:row r="8" ht="28" customHeight="1">
      <x:c r="A8" s="247"/>
      <x:c r="B8" s="248"/>
      <x:c r="C8" s="248"/>
      <x:c r="D8" s="248"/>
      <x:c r="E8" s="248"/>
      <x:c r="F8" s="248"/>
      <x:c r="G8" s="248"/>
      <x:c r="H8" s="248"/>
      <x:c r="I8" s="251"/>
    </x:row>
    <x:row r="9" ht="28" customHeight="1">
      <x:c r="A9" s="247"/>
      <x:c r="B9" s="247"/>
      <x:c r="C9" s="247"/>
      <x:c r="D9" s="247"/>
      <x:c r="E9" s="247"/>
      <x:c r="F9" s="247"/>
      <x:c r="G9" s="247"/>
      <x:c r="H9" s="247"/>
      <x:c r="I9" s="244"/>
    </x:row>
    <x:row r="10" ht="28" customHeight="1">
      <x:c r="A10" s="249" t="str">
        <x:v>EVIDENCE</x:v>
      </x:c>
      <x:c r="B10" s="248" t="str">
        <x:v>F1/F2 support fan-estimate targets. Cash shares, starting gold, spending, debt and prices are labelled M3 simulation choices.</x:v>
      </x:c>
      <x:c r="C10" s="248"/>
      <x:c r="D10" s="248"/>
      <x:c r="E10" s="248"/>
      <x:c r="F10" s="248"/>
      <x:c r="G10" s="248"/>
      <x:c r="H10" s="248"/>
      <x:c r="I10" s="251"/>
    </x:row>
    <x:row r="11" ht="28" customHeight="1">
      <x:c r="A11" s="247"/>
      <x:c r="B11" s="248"/>
      <x:c r="C11" s="248"/>
      <x:c r="D11" s="248"/>
      <x:c r="E11" s="248"/>
      <x:c r="F11" s="248"/>
      <x:c r="G11" s="248"/>
      <x:c r="H11" s="248"/>
      <x:c r="I11" s="251"/>
    </x:row>
    <x:row r="12" ht="28" customHeight="1">
      <x:c r="A12" s="247"/>
      <x:c r="B12" s="247"/>
      <x:c r="C12" s="247"/>
      <x:c r="D12" s="247"/>
      <x:c r="E12" s="247"/>
      <x:c r="F12" s="247"/>
      <x:c r="G12" s="247"/>
      <x:c r="H12" s="247"/>
      <x:c r="I12" s="244"/>
    </x:row>
    <x:row r="13" ht="28" customHeight="1">
      <x:c r="A13" s="249" t="str">
        <x:v>DATE</x:v>
      </x:c>
      <x:c r="B13" s="248" t="str">
        <x:v>Late 283 AC opening; first year covers the next 12 turns. The previous post-rebellion bookmark is unchanged.</x:v>
      </x:c>
      <x:c r="C13" s="248"/>
      <x:c r="D13" s="248"/>
      <x:c r="E13" s="248"/>
      <x:c r="F13" s="248"/>
      <x:c r="G13" s="248"/>
      <x:c r="H13" s="248"/>
      <x:c r="I13" s="251"/>
    </x:row>
    <x:row r="14" ht="28" customHeight="1">
      <x:c r="A14" s="247"/>
      <x:c r="B14" s="248"/>
      <x:c r="C14" s="248"/>
      <x:c r="D14" s="248"/>
      <x:c r="E14" s="248"/>
      <x:c r="F14" s="248"/>
      <x:c r="G14" s="248"/>
      <x:c r="H14" s="248"/>
      <x:c r="I14" s="251"/>
    </x:row>
    <x:row r="15" ht="28" customHeight="1">
      <x:c r="A15" s="247"/>
      <x:c r="B15" s="247"/>
      <x:c r="C15" s="247"/>
      <x:c r="D15" s="247"/>
      <x:c r="E15" s="247"/>
      <x:c r="F15" s="247"/>
      <x:c r="G15" s="247"/>
      <x:c r="H15" s="247"/>
      <x:c r="I15" s="244"/>
    </x:row>
    <x:row r="16" ht="28" customHeight="1">
      <x:c r="A16" s="249" t="str">
        <x:v>ACCOUNTS</x:v>
      </x:c>
      <x:c r="B16" s="248" t="str">
        <x:v>Each account is the ruling house or central administration. It does not own every vassal, trader or privately held stock.</x:v>
      </x:c>
      <x:c r="C16" s="248"/>
      <x:c r="D16" s="248"/>
      <x:c r="E16" s="248"/>
      <x:c r="F16" s="248"/>
      <x:c r="G16" s="248"/>
      <x:c r="H16" s="248"/>
      <x:c r="I16" s="251"/>
    </x:row>
    <x:row r="17" ht="28" customHeight="1">
      <x:c r="A17" s="247"/>
      <x:c r="B17" s="248"/>
      <x:c r="C17" s="248"/>
      <x:c r="D17" s="248"/>
      <x:c r="E17" s="248"/>
      <x:c r="F17" s="248"/>
      <x:c r="G17" s="248"/>
      <x:c r="H17" s="248"/>
      <x:c r="I17" s="251"/>
    </x:row>
    <x:row r="18" ht="28" customHeight="1">
      <x:c r="A18" s="247"/>
      <x:c r="B18" s="247"/>
      <x:c r="C18" s="247"/>
      <x:c r="D18" s="247"/>
      <x:c r="E18" s="247"/>
      <x:c r="F18" s="247"/>
      <x:c r="G18" s="247"/>
      <x:c r="H18" s="247"/>
      <x:c r="I18" s="244"/>
    </x:row>
    <x:row r="19" ht="28" customHeight="1">
      <x:c r="A19" s="249" t="str">
        <x:v>EDIT FIRST</x:v>
      </x:c>
      <x:c r="B19" s="248" t="str">
        <x:v>Inputs S: normal income. T: cash share. P: collection factor. Review Outlays, Transfers, Debt and Projects for obligations.</x:v>
      </x:c>
      <x:c r="C19" s="248"/>
      <x:c r="D19" s="248"/>
      <x:c r="E19" s="248"/>
      <x:c r="F19" s="248"/>
      <x:c r="G19" s="248"/>
      <x:c r="H19" s="248"/>
      <x:c r="I19" s="251"/>
    </x:row>
    <x:row r="20" ht="28" customHeight="1">
      <x:c r="A20" s="247"/>
      <x:c r="B20" s="248"/>
      <x:c r="C20" s="248"/>
      <x:c r="D20" s="248"/>
      <x:c r="E20" s="248"/>
      <x:c r="F20" s="248"/>
      <x:c r="G20" s="248"/>
      <x:c r="H20" s="248"/>
      <x:c r="I20" s="251"/>
    </x:row>
    <x:row r="21" ht="28" customHeight="1">
      <x:c r="A21" s="247"/>
      <x:c r="B21" s="247"/>
      <x:c r="C21" s="247"/>
      <x:c r="D21" s="247"/>
      <x:c r="E21" s="247"/>
      <x:c r="F21" s="247"/>
      <x:c r="G21" s="247"/>
      <x:c r="H21" s="247"/>
      <x:c r="I21" s="244"/>
    </x:row>
    <x:row r="22" ht="28" customHeight="1">
      <x:c r="A22" s="249" t="str">
        <x:v>USE SCENARIOS</x:v>
      </x:c>
      <x:c r="B22" s="248" t="str">
        <x:v>Goods and Goods detail separate physical tax deliveries, use, sales, purchases and stocks. Monthly checks cash timing.</x:v>
      </x:c>
      <x:c r="C22" s="248"/>
      <x:c r="D22" s="248"/>
      <x:c r="E22" s="248"/>
      <x:c r="F22" s="248"/>
      <x:c r="G22" s="248"/>
      <x:c r="H22" s="248"/>
      <x:c r="I22" s="251"/>
    </x:row>
    <x:row r="23" ht="28" customHeight="1">
      <x:c r="A23" s="247"/>
      <x:c r="B23" s="248"/>
      <x:c r="C23" s="248"/>
      <x:c r="D23" s="248"/>
      <x:c r="E23" s="248"/>
      <x:c r="F23" s="248"/>
      <x:c r="G23" s="248"/>
      <x:c r="H23" s="248"/>
      <x:c r="I23" s="251"/>
    </x:row>
    <x:row r="24" ht="28" customHeight="1">
      <x:c r="A24" s="247"/>
      <x:c r="B24" s="247"/>
      <x:c r="C24" s="247"/>
      <x:c r="D24" s="247"/>
      <x:c r="E24" s="247"/>
      <x:c r="F24" s="247"/>
      <x:c r="G24" s="247"/>
      <x:c r="H24" s="247"/>
      <x:c r="I24" s="244"/>
    </x:row>
    <x:row r="25" ht="28" customHeight="1">
      <x:c r="A25" s="249" t="str">
        <x:v>POSTING RULE</x:v>
      </x:c>
      <x:c r="B25" s="248" t="str">
        <x:v>Goods sales and purchases post to cash automatically. Campaign / emergency relief only posts when entered once in Outlays M.</x:v>
      </x:c>
      <x:c r="C25" s="248"/>
      <x:c r="D25" s="248"/>
      <x:c r="E25" s="248"/>
      <x:c r="F25" s="248"/>
      <x:c r="G25" s="248"/>
      <x:c r="H25" s="248"/>
      <x:c r="I25" s="251"/>
    </x:row>
    <x:row r="26" ht="28" customHeight="1">
      <x:c r="A26" s="247"/>
      <x:c r="B26" s="248"/>
      <x:c r="C26" s="248"/>
      <x:c r="D26" s="248"/>
      <x:c r="E26" s="248"/>
      <x:c r="F26" s="248"/>
      <x:c r="G26" s="248"/>
      <x:c r="H26" s="248"/>
      <x:c r="I26" s="251"/>
    </x:row>
    <x:row r="27" ht="28" customHeight="1">
      <x:c r="A27" s="247"/>
      <x:c r="B27" s="247"/>
      <x:c r="C27" s="247"/>
      <x:c r="D27" s="247"/>
      <x:c r="E27" s="247"/>
      <x:c r="F27" s="247"/>
      <x:c r="G27" s="247"/>
      <x:c r="H27" s="247"/>
      <x:c r="I27" s="244"/>
    </x:row>
    <x:row r="28" ht="28" customHeight="1">
      <x:c r="A28" s="249" t="str">
        <x:v>COST BOUNDARY</x:v>
      </x:c>
      <x:c r="B28" s="248" t="str">
        <x:v>Cash estate / mine / port receipts are net of their own operations. Goods allocations are separate; do not buy the same supply twice.</x:v>
      </x:c>
      <x:c r="C28" s="248"/>
      <x:c r="D28" s="248"/>
      <x:c r="E28" s="248"/>
      <x:c r="F28" s="248"/>
      <x:c r="G28" s="248"/>
      <x:c r="H28" s="248"/>
      <x:c r="I28" s="251"/>
    </x:row>
    <x:row r="29" ht="28" customHeight="1">
      <x:c r="A29" s="247"/>
      <x:c r="B29" s="248"/>
      <x:c r="C29" s="248"/>
      <x:c r="D29" s="248"/>
      <x:c r="E29" s="248"/>
      <x:c r="F29" s="248"/>
      <x:c r="G29" s="248"/>
      <x:c r="H29" s="248"/>
      <x:c r="I29" s="251"/>
    </x:row>
    <x:row r="30" ht="28" customHeight="1">
      <x:c r="A30" s="247"/>
      <x:c r="B30" s="247"/>
      <x:c r="C30" s="247"/>
      <x:c r="D30" s="247"/>
      <x:c r="E30" s="247"/>
      <x:c r="F30" s="247"/>
      <x:c r="G30" s="247"/>
      <x:c r="H30" s="247"/>
      <x:c r="I30" s="244"/>
    </x:row>
    <x:row r="31" ht="28" customHeight="1">
      <x:c r="A31" s="249" t="str">
        <x:v>ROLL FORWARD</x:v>
      </x:c>
      <x:c r="B31" s="248" t="str">
        <x:v>Carry closing cash, funded debt and goods quantities forward. Reset one-off projects; add future maintenance and commitments.</x:v>
      </x:c>
      <x:c r="C31" s="248"/>
      <x:c r="D31" s="248"/>
      <x:c r="E31" s="248"/>
      <x:c r="F31" s="248"/>
      <x:c r="G31" s="248"/>
      <x:c r="H31" s="248"/>
      <x:c r="I31" s="251"/>
    </x:row>
    <x:row r="32" ht="28" customHeight="1">
      <x:c r="A32" s="247"/>
      <x:c r="B32" s="248"/>
      <x:c r="C32" s="248"/>
      <x:c r="D32" s="248"/>
      <x:c r="E32" s="248"/>
      <x:c r="F32" s="248"/>
      <x:c r="G32" s="248"/>
      <x:c r="H32" s="248"/>
      <x:c r="I32" s="251"/>
    </x:row>
    <x:row r="33" ht="28" customHeight="1">
      <x:c r="A33" s="247"/>
      <x:c r="B33" s="247"/>
      <x:c r="C33" s="247"/>
      <x:c r="D33" s="247"/>
      <x:c r="E33" s="247"/>
      <x:c r="F33" s="247"/>
      <x:c r="G33" s="247"/>
      <x:c r="H33" s="247"/>
      <x:c r="I33" s="244"/>
    </x:row>
    <x:row r="34" ht="28" customHeight="1">
      <x:c r="A34" s="249" t="str">
        <x:v>COLOURS</x:v>
      </x:c>
      <x:c r="B34" s="248" t="str">
        <x:v>Blue numbers are editable assumptions. Green formulas link sheets. Yellow highlights key controls and totals.</x:v>
      </x:c>
      <x:c r="C34" s="248"/>
      <x:c r="D34" s="248"/>
      <x:c r="E34" s="248"/>
      <x:c r="F34" s="248"/>
      <x:c r="G34" s="248"/>
      <x:c r="H34" s="248"/>
      <x:c r="I34" s="251"/>
    </x:row>
    <x:row r="35" ht="28" customHeight="1">
      <x:c r="A35" s="247"/>
      <x:c r="B35" s="248"/>
      <x:c r="C35" s="248"/>
      <x:c r="D35" s="248"/>
      <x:c r="E35" s="248"/>
      <x:c r="F35" s="248"/>
      <x:c r="G35" s="248"/>
      <x:c r="H35" s="248"/>
      <x:c r="I35" s="251"/>
    </x:row>
    <x:row r="36" ht="28" customHeight="1">
      <x:c r="A36" s="247"/>
      <x:c r="B36" s="247"/>
      <x:c r="C36" s="247"/>
      <x:c r="D36" s="247"/>
      <x:c r="E36" s="247"/>
      <x:c r="F36" s="247"/>
      <x:c r="G36" s="247"/>
      <x:c r="H36" s="247"/>
      <x:c r="I36" s="244"/>
    </x:row>
    <x:row r="37" ht="28" customHeight="1">
      <x:c r="A37" s="249" t="str">
        <x:v>LIMITATIONS</x:v>
      </x:c>
      <x:c r="B37" s="248" t="str">
        <x:v>Tully potential 2m is not collected. Crown and Storm's End are separate. Grain releases and Campaign costs require deliberate posting.</x:v>
      </x:c>
      <x:c r="C37" s="248"/>
      <x:c r="D37" s="248"/>
      <x:c r="E37" s="248"/>
      <x:c r="F37" s="248"/>
      <x:c r="G37" s="248"/>
      <x:c r="H37" s="248"/>
      <x:c r="I37" s="251"/>
    </x:row>
    <x:row r="38" ht="28" customHeight="1">
      <x:c r="A38" s="247"/>
      <x:c r="B38" s="248"/>
      <x:c r="C38" s="248"/>
      <x:c r="D38" s="248"/>
      <x:c r="E38" s="248"/>
      <x:c r="F38" s="248"/>
      <x:c r="G38" s="248"/>
      <x:c r="H38" s="248"/>
      <x:c r="I38" s="251"/>
    </x:row>
    <x:row r="39" ht="28" customHeight="1">
      <x:c r="A39" s="247"/>
      <x:c r="B39" s="247"/>
      <x:c r="C39" s="247"/>
      <x:c r="D39" s="247"/>
      <x:c r="E39" s="247"/>
      <x:c r="F39" s="247"/>
      <x:c r="G39" s="247"/>
      <x:c r="H39" s="247"/>
      <x:c r="I39" s="244"/>
    </x:row>
    <x:row r="40" ht="28" customHeight="1">
      <x:c r="A40" s="247"/>
      <x:c r="B40" s="247"/>
      <x:c r="C40" s="247"/>
      <x:c r="D40" s="247"/>
      <x:c r="E40" s="247"/>
      <x:c r="F40" s="247"/>
      <x:c r="G40" s="247"/>
      <x:c r="H40" s="247"/>
      <x:c r="I40" s="244"/>
    </x:row>
    <x:row r="41" ht="28" customHeight="1">
      <x:c r="A41" s="247"/>
      <x:c r="B41" s="247"/>
      <x:c r="C41" s="247"/>
      <x:c r="D41" s="247"/>
      <x:c r="E41" s="247"/>
      <x:c r="F41" s="247"/>
      <x:c r="G41" s="247"/>
      <x:c r="H41" s="247"/>
      <x:c r="I41" s="244"/>
    </x:row>
    <x:row r="42" ht="28" customHeight="1">
      <x:c r="A42" s="250" t="str">
        <x:v>For reading, use the revised HTML handbook. It has a short opening guide, larger text, and expandable chapters.</x:v>
      </x:c>
      <x:c r="B42" s="250"/>
      <x:c r="C42" s="250"/>
      <x:c r="D42" s="250"/>
      <x:c r="E42" s="250"/>
      <x:c r="F42" s="250"/>
      <x:c r="G42" s="250"/>
      <x:c r="H42" s="250"/>
      <x:c r="I42" s="244"/>
    </x:row>
    <x:row r="43" ht="28" customHeight="1">
      <x:c r="A43" s="247"/>
      <x:c r="B43" s="247"/>
      <x:c r="C43" s="247"/>
      <x:c r="D43" s="247"/>
      <x:c r="E43" s="247"/>
      <x:c r="F43" s="247"/>
      <x:c r="G43" s="247"/>
      <x:c r="H43" s="247"/>
      <x:c r="I43" s="244"/>
    </x:row>
    <x:row r="44" ht="28" customHeight="1">
      <x:c r="A44" s="247"/>
      <x:c r="B44" s="247"/>
      <x:c r="C44" s="247"/>
      <x:c r="D44" s="247"/>
      <x:c r="E44" s="247"/>
      <x:c r="F44" s="247"/>
      <x:c r="G44" s="247"/>
      <x:c r="H44" s="247"/>
      <x:c r="I44" s="244"/>
    </x:row>
    <x:row r="45" ht="22" customHeight="1">
      <x:c r="A45" s="247"/>
      <x:c r="B45" s="247"/>
      <x:c r="C45" s="247"/>
      <x:c r="D45" s="247"/>
      <x:c r="E45" s="247"/>
      <x:c r="F45" s="247"/>
      <x:c r="G45" s="247"/>
      <x:c r="H45" s="247"/>
      <x:c r="I45" s="244"/>
    </x:row>
    <x:row r="46" ht="22" customHeight="1">
      <x:c r="A46" s="128"/>
      <x:c r="B46" s="128"/>
      <x:c r="C46" s="128"/>
      <x:c r="D46" s="128"/>
      <x:c r="E46" s="128"/>
      <x:c r="F46" s="128"/>
      <x:c r="G46" s="128"/>
      <x:c r="H46" s="128"/>
      <x:c r="I46" s="125"/>
    </x:row>
    <x:row r="47">
      <x:c r="A47" s="125"/>
      <x:c r="B47" s="125"/>
      <x:c r="C47" s="125"/>
      <x:c r="D47" s="125"/>
      <x:c r="E47" s="125"/>
      <x:c r="F47" s="125"/>
      <x:c r="G47" s="125"/>
      <x:c r="H47" s="125"/>
      <x:c r="I47" s="125"/>
    </x:row>
    <x:row r="48">
      <x:c r="A48" s="125"/>
      <x:c r="B48" s="125"/>
      <x:c r="C48" s="125"/>
      <x:c r="D48" s="125"/>
      <x:c r="E48" s="125"/>
      <x:c r="F48" s="125"/>
      <x:c r="G48" s="125"/>
      <x:c r="H48" s="125"/>
      <x:c r="I48" s="125"/>
    </x:row>
  </x:sheetData>
  <x:mergeCells>
    <x:mergeCell ref="A1:H1"/>
    <x:mergeCell ref="B4:H5"/>
    <x:mergeCell ref="B7:H8"/>
    <x:mergeCell ref="B10:H11"/>
    <x:mergeCell ref="B13:H14"/>
    <x:mergeCell ref="B16:H17"/>
    <x:mergeCell ref="B19:H20"/>
    <x:mergeCell ref="B22:H23"/>
    <x:mergeCell ref="B25:H26"/>
    <x:mergeCell ref="B28:H29"/>
    <x:mergeCell ref="B31:H32"/>
    <x:mergeCell ref="B34:H35"/>
    <x:mergeCell ref="B37:H38"/>
    <x:mergeCell ref="A42:H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2" customHeight="1">
      <x:c r="A1" s="238" t="str">
        <x:v>WESTEROS 283 AC | Revised income model</x:v>
      </x:c>
      <x:c r="B1" s="238"/>
      <x:c r="C1" s="238"/>
      <x:c r="D1" s="238"/>
      <x:c r="E1" s="238"/>
      <x:c r="F1" s="238"/>
      <x:c r="G1" s="238"/>
      <x:c r="H1" s="238"/>
      <x:c r="I1" s="238"/>
      <x:c r="J1" s="125"/>
      <x:c r="K1" s="125"/>
      <x:c r="L1" s="125"/>
    </x:row>
    <x:row r="2">
      <x:c r="A2" s="240"/>
      <x:c r="B2" s="240"/>
      <x:c r="C2" s="240"/>
      <x:c r="D2" s="240"/>
      <x:c r="E2" s="240"/>
      <x:c r="F2" s="240"/>
      <x:c r="G2" s="240"/>
      <x:c r="H2" s="240"/>
      <x:c r="I2" s="240"/>
      <x:c r="J2" s="125"/>
      <x:c r="K2" s="125"/>
      <x:c r="L2" s="125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</x:row>
    <x:row r="4" ht="62" customHeight="1">
      <x:c r="A4" s="140" t="str">
        <x:v>Region / account</x:v>
      </x:c>
      <x:c r="B4" s="140" t="str">
        <x:v>Opening cash G</x:v>
      </x:c>
      <x:c r="C4" s="140" t="str">
        <x:v>Annual cash receipts G</x:v>
      </x:c>
      <x:c r="D4" s="140" t="str">
        <x:v>Annual cash outflow G</x:v>
      </x:c>
      <x:c r="E4" s="140" t="str">
        <x:v>Net cash flow G</x:v>
      </x:c>
      <x:c r="F4" s="140" t="str">
        <x:v>Closing cash G</x:v>
      </x:c>
      <x:c r="G4" s="140" t="str">
        <x:v>Closing funded debt G</x:v>
      </x:c>
      <x:c r="H4" s="140" t="str">
        <x:v>Bullion / plate G</x:v>
      </x:c>
      <x:c r="I4" s="140" t="str">
        <x:v>Undrawn credit G</x:v>
      </x:c>
      <x:c r="J4" s="125"/>
      <x:c r="K4" s="125"/>
      <x:c r="L4" s="125"/>
    </x:row>
    <x:row r="5" ht="28" customHeight="1">
      <x:c r="A5" s="128" t="str">
        <x:v>North</x:v>
      </x:c>
      <x:c r="B5" s="141" t="n">
        <x:f>Inputs!E5</x:f>
        <x:v>500000</x:v>
      </x:c>
      <x:c r="C5" s="141" t="n">
        <x:f>Income!J5</x:f>
        <x:v>280000.00000000006</x:v>
      </x:c>
      <x:c r="D5" s="141" t="n">
        <x:f>Outlays!O5</x:f>
        <x:v>270000</x:v>
      </x:c>
      <x:c r="E5" s="141" t="n">
        <x:f>C5-D5</x:f>
        <x:v>10000.000000000058</x:v>
      </x:c>
      <x:c r="F5" s="141" t="n">
        <x:f>B5+E5+Debt!H5</x:f>
        <x:v>510000.00000000006</x:v>
      </x:c>
      <x:c r="G5" s="141" t="n">
        <x:f>Debt!J5</x:f>
        <x:v>90000</x:v>
      </x:c>
      <x:c r="H5" s="141" t="n">
        <x:f>Inputs!F5</x:f>
        <x:v>150000</x:v>
      </x:c>
      <x:c r="I5" s="141" t="n">
        <x:f>Inputs!J5</x:f>
        <x:v>150000</x:v>
      </x:c>
      <x:c r="J5" s="214"/>
      <x:c r="K5" s="214"/>
      <x:c r="L5" s="214"/>
      <x:c r="M5" s="237"/>
      <x:c r="N5" s="237"/>
      <x:c r="O5" s="237"/>
    </x:row>
    <x:row r="6" ht="28" customHeight="1">
      <x:c r="A6" s="128" t="str">
        <x:v>Vale</x:v>
      </x:c>
      <x:c r="B6" s="141" t="n">
        <x:f>Inputs!E6</x:f>
        <x:v>1500000</x:v>
      </x:c>
      <x:c r="C6" s="141" t="n">
        <x:f>Income!J6</x:f>
        <x:v>1200000</x:v>
      </x:c>
      <x:c r="D6" s="141" t="n">
        <x:f>Outlays!O6</x:f>
        <x:v>1021000</x:v>
      </x:c>
      <x:c r="E6" s="141" t="n">
        <x:f>C6-D6</x:f>
        <x:v>179000</x:v>
      </x:c>
      <x:c r="F6" s="141" t="n">
        <x:f>B6+E6+Debt!H6</x:f>
        <x:v>1679000</x:v>
      </x:c>
      <x:c r="G6" s="141" t="n">
        <x:f>Debt!J6</x:f>
        <x:v>175000</x:v>
      </x:c>
      <x:c r="H6" s="141" t="n">
        <x:f>Inputs!F6</x:f>
        <x:v>350000</x:v>
      </x:c>
      <x:c r="I6" s="141" t="n">
        <x:f>Inputs!J6</x:f>
        <x:v>400000</x:v>
      </x:c>
      <x:c r="J6" s="214"/>
      <x:c r="K6" s="214"/>
      <x:c r="L6" s="214"/>
      <x:c r="M6" s="237"/>
      <x:c r="N6" s="237"/>
      <x:c r="O6" s="237"/>
    </x:row>
    <x:row r="7" ht="28" customHeight="1">
      <x:c r="A7" s="128" t="str">
        <x:v>Riverlands</x:v>
      </x:c>
      <x:c r="B7" s="141" t="n">
        <x:f>Inputs!E7</x:f>
        <x:v>400000</x:v>
      </x:c>
      <x:c r="C7" s="141" t="n">
        <x:f>Income!J7</x:f>
        <x:v>499999.99999999994</x:v>
      </x:c>
      <x:c r="D7" s="141" t="n">
        <x:f>Outlays!O7</x:f>
        <x:v>549000</x:v>
      </x:c>
      <x:c r="E7" s="141" t="n">
        <x:f>C7-D7</x:f>
        <x:v>-49000.00000000006</x:v>
      </x:c>
      <x:c r="F7" s="141" t="n">
        <x:f>B7+E7+Debt!H7</x:f>
        <x:v>350999.99999999994</x:v>
      </x:c>
      <x:c r="G7" s="141" t="n">
        <x:f>Debt!J7</x:f>
        <x:v>275000</x:v>
      </x:c>
      <x:c r="H7" s="141" t="n">
        <x:f>Inputs!F7</x:f>
        <x:v>100000</x:v>
      </x:c>
      <x:c r="I7" s="141" t="n">
        <x:f>Inputs!J7</x:f>
        <x:v>200000</x:v>
      </x:c>
      <x:c r="J7" s="214"/>
      <x:c r="K7" s="214"/>
      <x:c r="L7" s="214"/>
      <x:c r="M7" s="237"/>
      <x:c r="N7" s="237"/>
      <x:c r="O7" s="237"/>
    </x:row>
    <x:row r="8" ht="28" customHeight="1">
      <x:c r="A8" s="128" t="str">
        <x:v>Westerlands</x:v>
      </x:c>
      <x:c r="B8" s="141" t="n">
        <x:f>Inputs!E8</x:f>
        <x:v>10000000</x:v>
      </x:c>
      <x:c r="C8" s="141" t="n">
        <x:f>Income!J8</x:f>
        <x:v>3420000</x:v>
      </x:c>
      <x:c r="D8" s="141" t="n">
        <x:f>Outlays!O8</x:f>
        <x:v>2630000</x:v>
      </x:c>
      <x:c r="E8" s="141" t="n">
        <x:f>C8-D8</x:f>
        <x:v>790000</x:v>
      </x:c>
      <x:c r="F8" s="141" t="n">
        <x:f>B8+E8+Debt!H8</x:f>
        <x:v>10790000</x:v>
      </x:c>
      <x:c r="G8" s="141" t="n">
        <x:f>Debt!J8</x:f>
        <x:v>0</x:v>
      </x:c>
      <x:c r="H8" s="141" t="n">
        <x:f>Inputs!F8</x:f>
        <x:v>3000000</x:v>
      </x:c>
      <x:c r="I8" s="141" t="n">
        <x:f>Inputs!J8</x:f>
        <x:v>1000000</x:v>
      </x:c>
      <x:c r="J8" s="214"/>
      <x:c r="K8" s="214"/>
      <x:c r="L8" s="214"/>
      <x:c r="M8" s="237"/>
      <x:c r="N8" s="237"/>
      <x:c r="O8" s="237"/>
    </x:row>
    <x:row r="9" ht="28" customHeight="1">
      <x:c r="A9" s="128" t="str">
        <x:v>Reach</x:v>
      </x:c>
      <x:c r="B9" s="141" t="n">
        <x:f>Inputs!E9</x:f>
        <x:v>3000000</x:v>
      </x:c>
      <x:c r="C9" s="141" t="n">
        <x:f>Income!J9</x:f>
        <x:v>2730000</x:v>
      </x:c>
      <x:c r="D9" s="141" t="n">
        <x:f>Outlays!O9</x:f>
        <x:v>2592000</x:v>
      </x:c>
      <x:c r="E9" s="141" t="n">
        <x:f>C9-D9</x:f>
        <x:v>138000</x:v>
      </x:c>
      <x:c r="F9" s="141" t="n">
        <x:f>B9+E9+Debt!H9</x:f>
        <x:v>3138000</x:v>
      </x:c>
      <x:c r="G9" s="141" t="n">
        <x:f>Debt!J9</x:f>
        <x:v>350000</x:v>
      </x:c>
      <x:c r="H9" s="141" t="n">
        <x:f>Inputs!F9</x:f>
        <x:v>1000000</x:v>
      </x:c>
      <x:c r="I9" s="141" t="n">
        <x:f>Inputs!J9</x:f>
        <x:v>750000</x:v>
      </x:c>
      <x:c r="J9" s="214"/>
      <x:c r="K9" s="214"/>
      <x:c r="L9" s="214"/>
      <x:c r="M9" s="237"/>
      <x:c r="N9" s="237"/>
      <x:c r="O9" s="237"/>
    </x:row>
    <x:row r="10" ht="28" customHeight="1">
      <x:c r="A10" s="128" t="str">
        <x:v>Stormlands</x:v>
      </x:c>
      <x:c r="B10" s="141" t="n">
        <x:f>Inputs!E10</x:f>
        <x:v>200000</x:v>
      </x:c>
      <x:c r="C10" s="141" t="n">
        <x:f>Income!J10</x:f>
        <x:v>337500</x:v>
      </x:c>
      <x:c r="D10" s="141" t="n">
        <x:f>Outlays!O10</x:f>
        <x:v>383000</x:v>
      </x:c>
      <x:c r="E10" s="141" t="n">
        <x:f>C10-D10</x:f>
        <x:v>-45500</x:v>
      </x:c>
      <x:c r="F10" s="141" t="n">
        <x:f>B10+E10+Debt!H10</x:f>
        <x:v>154500</x:v>
      </x:c>
      <x:c r="G10" s="141" t="n">
        <x:f>Debt!J10</x:f>
        <x:v>165000</x:v>
      </x:c>
      <x:c r="H10" s="141" t="n">
        <x:f>Inputs!F10</x:f>
        <x:v>75000</x:v>
      </x:c>
      <x:c r="I10" s="141" t="n">
        <x:f>Inputs!J10</x:f>
        <x:v>150000</x:v>
      </x:c>
      <x:c r="J10" s="214"/>
      <x:c r="K10" s="214"/>
      <x:c r="L10" s="214"/>
      <x:c r="M10" s="237"/>
      <x:c r="N10" s="237"/>
      <x:c r="O10" s="237"/>
    </x:row>
    <x:row r="11" ht="28" customHeight="1">
      <x:c r="A11" s="128" t="str">
        <x:v>Dorne</x:v>
      </x:c>
      <x:c r="B11" s="141" t="n">
        <x:f>Inputs!E11</x:f>
        <x:v>700000</x:v>
      </x:c>
      <x:c r="C11" s="141" t="n">
        <x:f>Income!J11</x:f>
        <x:v>650000</x:v>
      </x:c>
      <x:c r="D11" s="141" t="n">
        <x:f>Outlays!O11</x:f>
        <x:v>621000</x:v>
      </x:c>
      <x:c r="E11" s="141" t="n">
        <x:f>C11-D11</x:f>
        <x:v>29000</x:v>
      </x:c>
      <x:c r="F11" s="141" t="n">
        <x:f>B11+E11+Debt!H11</x:f>
        <x:v>729000</x:v>
      </x:c>
      <x:c r="G11" s="141" t="n">
        <x:f>Debt!J11</x:f>
        <x:v>180000</x:v>
      </x:c>
      <x:c r="H11" s="141" t="n">
        <x:f>Inputs!F11</x:f>
        <x:v>200000</x:v>
      </x:c>
      <x:c r="I11" s="141" t="n">
        <x:f>Inputs!J11</x:f>
        <x:v>250000</x:v>
      </x:c>
      <x:c r="J11" s="214"/>
      <x:c r="K11" s="214"/>
      <x:c r="L11" s="214"/>
      <x:c r="M11" s="237"/>
      <x:c r="N11" s="237"/>
      <x:c r="O11" s="237"/>
    </x:row>
    <x:row r="12" ht="28" customHeight="1">
      <x:c r="A12" s="128" t="str">
        <x:v>Iron Islands</x:v>
      </x:c>
      <x:c r="B12" s="141" t="n">
        <x:f>Inputs!E12</x:f>
        <x:v>175000</x:v>
      </x:c>
      <x:c r="C12" s="141" t="n">
        <x:f>Income!J12</x:f>
        <x:v>270000</x:v>
      </x:c>
      <x:c r="D12" s="141" t="n">
        <x:f>Outlays!O12</x:f>
        <x:v>288000</x:v>
      </x:c>
      <x:c r="E12" s="141" t="n">
        <x:f>C12-D12</x:f>
        <x:v>-18000</x:v>
      </x:c>
      <x:c r="F12" s="141" t="n">
        <x:f>B12+E12+Debt!H12</x:f>
        <x:v>157000</x:v>
      </x:c>
      <x:c r="G12" s="141" t="n">
        <x:f>Debt!J12</x:f>
        <x:v>70000</x:v>
      </x:c>
      <x:c r="H12" s="141" t="n">
        <x:f>Inputs!F12</x:f>
        <x:v>60000</x:v>
      </x:c>
      <x:c r="I12" s="141" t="n">
        <x:f>Inputs!J12</x:f>
        <x:v>75000</x:v>
      </x:c>
      <x:c r="J12" s="214"/>
      <x:c r="K12" s="214"/>
      <x:c r="L12" s="214"/>
      <x:c r="M12" s="237"/>
      <x:c r="N12" s="237"/>
      <x:c r="O12" s="237"/>
    </x:row>
    <x:row r="13" ht="28" customHeight="1">
      <x:c r="A13" s="128" t="str">
        <x:v>Crownlands / Crown</x:v>
      </x:c>
      <x:c r="B13" s="141" t="n">
        <x:f>Inputs!E13</x:f>
        <x:v>3000000</x:v>
      </x:c>
      <x:c r="C13" s="141" t="n">
        <x:f>Income!J13</x:f>
        <x:v>2180000</x:v>
      </x:c>
      <x:c r="D13" s="141" t="n">
        <x:f>Outlays!O13</x:f>
        <x:v>2120000</x:v>
      </x:c>
      <x:c r="E13" s="141" t="n">
        <x:f>C13-D13</x:f>
        <x:v>60000</x:v>
      </x:c>
      <x:c r="F13" s="141" t="n">
        <x:f>B13+E13+Debt!H13</x:f>
        <x:v>3060000</x:v>
      </x:c>
      <x:c r="G13" s="141" t="n">
        <x:f>Debt!J13</x:f>
        <x:v>0</x:v>
      </x:c>
      <x:c r="H13" s="141" t="n">
        <x:f>Inputs!F13</x:f>
        <x:v>600000</x:v>
      </x:c>
      <x:c r="I13" s="141" t="n">
        <x:f>Inputs!J13</x:f>
        <x:v>1000000</x:v>
      </x:c>
      <x:c r="J13" s="214"/>
      <x:c r="K13" s="214"/>
      <x:c r="L13" s="214"/>
      <x:c r="M13" s="237"/>
      <x:c r="N13" s="237"/>
      <x:c r="O13" s="237"/>
    </x:row>
    <x:row r="14" ht="28" customHeight="1">
      <x:c r="A14" s="142" t="str">
        <x:v>ACCOUNT TOTALS</x:v>
      </x:c>
      <x:c r="B14" s="143" t="n">
        <x:f>SUM(B5:B13)</x:f>
        <x:v>19475000</x:v>
      </x:c>
      <x:c r="C14" s="143" t="n">
        <x:f>SUM(C5:C13)</x:f>
        <x:v>11567500</x:v>
      </x:c>
      <x:c r="D14" s="143" t="n">
        <x:f>SUM(D5:D13)</x:f>
        <x:v>10474000</x:v>
      </x:c>
      <x:c r="E14" s="143" t="n">
        <x:f>SUM(E5:E13)</x:f>
        <x:v>1093500</x:v>
      </x:c>
      <x:c r="F14" s="143" t="n">
        <x:f>SUM(F5:F13)</x:f>
        <x:v>20568500</x:v>
      </x:c>
      <x:c r="G14" s="143" t="n">
        <x:f>SUM(G5:G13)</x:f>
        <x:v>1305000</x:v>
      </x:c>
      <x:c r="H14" s="143" t="n">
        <x:f>SUM(H5:H13)</x:f>
        <x:v>5535000</x:v>
      </x:c>
      <x:c r="I14" s="143" t="n">
        <x:f>SUM(I5:I13)</x:f>
        <x:v>3975000</x:v>
      </x:c>
      <x:c r="J14" s="214"/>
      <x:c r="K14" s="214"/>
      <x:c r="L14" s="214"/>
      <x:c r="M14" s="237"/>
      <x:c r="N14" s="237"/>
      <x:c r="O14" s="237"/>
    </x:row>
    <x:row r="15" ht="28" customHeight="1">
      <x:c r="A15" s="128"/>
      <x:c r="B15" s="144"/>
      <x:c r="C15" s="144"/>
      <x:c r="D15" s="144"/>
      <x:c r="E15" s="144"/>
      <x:c r="F15" s="144"/>
      <x:c r="G15" s="144"/>
      <x:c r="H15" s="144"/>
      <x:c r="I15" s="144"/>
      <x:c r="J15" s="125"/>
      <x:c r="K15" s="125"/>
      <x:c r="L15" s="125"/>
    </x:row>
    <x:row r="16" ht="28" customHeight="1">
      <x:c r="A16" s="128"/>
      <x:c r="B16" s="144"/>
      <x:c r="C16" s="144"/>
      <x:c r="D16" s="144"/>
      <x:c r="E16" s="144"/>
      <x:c r="F16" s="144"/>
      <x:c r="G16" s="144"/>
      <x:c r="H16" s="144"/>
      <x:c r="I16" s="144"/>
      <x:c r="J16" s="125"/>
      <x:c r="K16" s="125"/>
      <x:c r="L16" s="125"/>
    </x:row>
    <x:row r="17" ht="28" customHeight="1">
      <x:c r="A17" s="145" t="str">
        <x:v>CONSOLIDATED CENTRAL ACCOUNTS</x:v>
      </x:c>
      <x:c r="B17" s="146" t="str">
        <x:v>Amount G</x:v>
      </x:c>
      <x:c r="C17" s="146" t="str">
        <x:v>Meaning</x:v>
      </x:c>
      <x:c r="D17" s="146"/>
      <x:c r="E17" s="146"/>
      <x:c r="F17" s="146"/>
      <x:c r="G17" s="146"/>
      <x:c r="H17" s="146"/>
      <x:c r="I17" s="146"/>
      <x:c r="J17" s="125"/>
      <x:c r="K17" s="125"/>
      <x:c r="L17" s="125"/>
    </x:row>
    <x:row r="18" ht="28" customHeight="1">
      <x:c r="A18" s="128" t="str">
        <x:v>External cash receipts</x:v>
      </x:c>
      <x:c r="B18" s="141" t="n">
        <x:f>SUM(Income!H5:H13)+SUM(Income!N5:N13)</x:f>
        <x:v>10737500</x:v>
      </x:c>
      <x:c r="C18" s="147" t="str">
        <x:v>Own cash receipts plus goods sales; internal Crown payments removed.</x:v>
      </x:c>
      <x:c r="D18" s="147"/>
      <x:c r="E18" s="147"/>
      <x:c r="F18" s="147"/>
      <x:c r="G18" s="147"/>
      <x:c r="H18" s="147"/>
      <x:c r="I18" s="147"/>
      <x:c r="J18" s="125"/>
      <x:c r="K18" s="125"/>
      <x:c r="L18" s="125"/>
    </x:row>
    <x:row r="19" ht="28" customHeight="1">
      <x:c r="A19" s="128" t="str">
        <x:v>External cash outlays</x:v>
      </x:c>
      <x:c r="B19" s="141" t="n">
        <x:f>SUM(Outlays!O5:O13)-SUM(Transfers!G5:G12)</x:f>
        <x:v>9644000</x:v>
      </x:c>
      <x:c r="C19" s="147" t="str">
        <x:v>Excludes duplicate regional-to-Crown payments.</x:v>
      </x:c>
      <x:c r="D19" s="147"/>
      <x:c r="E19" s="147"/>
      <x:c r="F19" s="147"/>
      <x:c r="G19" s="147"/>
      <x:c r="H19" s="147"/>
      <x:c r="I19" s="147"/>
      <x:c r="J19" s="125"/>
      <x:c r="K19" s="125"/>
      <x:c r="L19" s="125"/>
    </x:row>
    <x:row r="20" ht="28" customHeight="1">
      <x:c r="A20" s="128" t="str">
        <x:v>Consolidated cash surplus</x:v>
      </x:c>
      <x:c r="B20" s="141" t="n">
        <x:f>B18-B19</x:f>
        <x:v>1093500</x:v>
      </x:c>
      <x:c r="C20" s="147" t="str">
        <x:v>Not the GDP or welfare of the entire population.</x:v>
      </x:c>
      <x:c r="D20" s="147"/>
      <x:c r="E20" s="147"/>
      <x:c r="F20" s="147"/>
      <x:c r="G20" s="147"/>
      <x:c r="H20" s="147"/>
      <x:c r="I20" s="147"/>
      <x:c r="J20" s="125"/>
      <x:c r="K20" s="125"/>
      <x:c r="L20" s="125"/>
    </x:row>
    <x:row r="21" ht="28" customHeight="1">
      <x:c r="A21" s="128" t="str">
        <x:v>Internal Crown transfers</x:v>
      </x:c>
      <x:c r="B21" s="141" t="n">
        <x:f>SUM(Transfers!G5:G12)</x:f>
        <x:v>830000</x:v>
      </x:c>
      <x:c r="C21" s="147" t="str">
        <x:v>Already paid out by regions and received by the Crown.</x:v>
      </x:c>
      <x:c r="D21" s="147"/>
      <x:c r="E21" s="147"/>
      <x:c r="F21" s="147"/>
      <x:c r="G21" s="147"/>
      <x:c r="H21" s="147"/>
      <x:c r="I21" s="147"/>
      <x:c r="J21" s="125"/>
      <x:c r="K21" s="125"/>
      <x:c r="L21" s="125"/>
    </x:row>
    <x:row r="22" ht="28" customHeight="1">
      <x:c r="A22" s="128" t="str">
        <x:v>Public cash stock at opening</x:v>
      </x:c>
      <x:c r="B22" s="141" t="n">
        <x:f>SUM(Inputs!E5:E13)</x:f>
        <x:v>19475000</x:v>
      </x:c>
      <x:c r="C22" s="147" t="str">
        <x:v>Not all money or privately held wealth in Westeros.</x:v>
      </x:c>
      <x:c r="D22" s="147"/>
      <x:c r="E22" s="147"/>
      <x:c r="F22" s="147"/>
      <x:c r="G22" s="147"/>
      <x:c r="H22" s="147"/>
      <x:c r="I22" s="147"/>
      <x:c r="J22" s="125"/>
      <x:c r="K22" s="125"/>
      <x:c r="L22" s="125"/>
    </x:row>
    <x:row r="23" ht="28" customHeight="1">
      <x:c r="A23" s="128"/>
      <x:c r="B23" s="128"/>
      <x:c r="C23" s="128"/>
      <x:c r="D23" s="128"/>
      <x:c r="E23" s="128"/>
      <x:c r="F23" s="128"/>
      <x:c r="G23" s="128"/>
      <x:c r="H23" s="128"/>
      <x:c r="I23" s="128"/>
      <x:c r="J23" s="125"/>
      <x:c r="K23" s="125"/>
      <x:c r="L23" s="125"/>
    </x:row>
    <x:row r="24" ht="28" customHeight="1">
      <x:c r="A24" s="131" t="str">
        <x:v>v2: larger agreed income scale. Cash table above is NOT total income. Goods, bullion and unused credit are separate.</x:v>
      </x:c>
      <x:c r="B24" s="131"/>
      <x:c r="C24" s="131"/>
      <x:c r="D24" s="131"/>
      <x:c r="E24" s="131"/>
      <x:c r="F24" s="131"/>
      <x:c r="G24" s="131"/>
      <x:c r="H24" s="131"/>
      <x:c r="I24" s="131"/>
      <x:c r="J24" s="125"/>
      <x:c r="K24" s="125"/>
      <x:c r="L24" s="125"/>
    </x:row>
    <x:row r="25" ht="28" customHeight="1">
      <x:c r="A25" s="128"/>
      <x:c r="B25" s="128"/>
      <x:c r="C25" s="128"/>
      <x:c r="D25" s="128"/>
      <x:c r="E25" s="128"/>
      <x:c r="F25" s="128"/>
      <x:c r="G25" s="128"/>
      <x:c r="H25" s="128"/>
      <x:c r="I25" s="128"/>
      <x:c r="J25" s="125"/>
      <x:c r="K25" s="125"/>
      <x:c r="L25" s="125"/>
    </x:row>
    <x:row r="26" ht="28" customHeight="1">
      <x:c r="A26" s="131" t="str">
        <x:v>North: 700,000 G annual income value, above Greyjoy 450,000 G. Tully: 1,000,000 G collected; 2,000,000 G potential, not extra income.</x:v>
      </x:c>
      <x:c r="B26" s="131"/>
      <x:c r="C26" s="131"/>
      <x:c r="D26" s="131"/>
      <x:c r="E26" s="131"/>
      <x:c r="F26" s="131"/>
      <x:c r="G26" s="131"/>
      <x:c r="H26" s="131"/>
      <x:c r="I26" s="131"/>
      <x:c r="J26" s="125"/>
      <x:c r="K26" s="125"/>
      <x:c r="L26" s="125"/>
    </x:row>
    <x:row r="27" ht="28" customHeight="1">
      <x:c r="A27" s="128"/>
      <x:c r="B27" s="128"/>
      <x:c r="C27" s="128"/>
      <x:c r="D27" s="128"/>
      <x:c r="E27" s="128"/>
      <x:c r="F27" s="128"/>
      <x:c r="G27" s="128"/>
      <x:c r="H27" s="128"/>
      <x:c r="I27" s="128"/>
      <x:c r="J27" s="125"/>
      <x:c r="K27" s="125"/>
      <x:c r="L27" s="125"/>
    </x:row>
    <x:row r="28" ht="28" customHeight="1">
      <x:c r="A28" s="128"/>
      <x:c r="B28" s="128"/>
      <x:c r="C28" s="128"/>
      <x:c r="D28" s="128"/>
      <x:c r="E28" s="128"/>
      <x:c r="F28" s="128"/>
      <x:c r="G28" s="128"/>
      <x:c r="H28" s="128"/>
      <x:c r="I28" s="128"/>
      <x:c r="J28" s="125"/>
      <x:c r="K28" s="125"/>
      <x:c r="L28" s="125"/>
    </x:row>
    <x:row r="29" ht="62" customHeight="1">
      <x:c r="A29" s="213" t="str">
        <x:v>Region / account</x:v>
      </x:c>
      <x:c r="B29" s="213" t="str">
        <x:v>Normal own income G</x:v>
      </x:c>
      <x:c r="C29" s="213" t="str">
        <x:v>Year 1 cash received G</x:v>
      </x:c>
      <x:c r="D29" s="213" t="str">
        <x:v>Goods tax value G</x:v>
      </x:c>
      <x:c r="E29" s="213" t="str">
        <x:v>Total income value G</x:v>
      </x:c>
      <x:c r="F29" s="213" t="str">
        <x:v>Goods used G</x:v>
      </x:c>
      <x:c r="G29" s="128"/>
      <x:c r="H29" s="128"/>
      <x:c r="I29" s="128"/>
      <x:c r="J29" s="125"/>
      <x:c r="K29" s="125"/>
      <x:c r="L29" s="125"/>
    </x:row>
    <x:row r="30" ht="31" customHeight="1">
      <x:c r="A30" s="128" t="str">
        <x:v>North</x:v>
      </x:c>
      <x:c r="B30" s="144" t="n">
        <x:f>Inputs!S5</x:f>
        <x:v>700000</x:v>
      </x:c>
      <x:c r="C30" s="144" t="n">
        <x:f>Income!J5</x:f>
        <x:v>280000.00000000006</x:v>
      </x:c>
      <x:c r="D30" s="144" t="n">
        <x:f>Income!L5</x:f>
        <x:v>420000</x:v>
      </x:c>
      <x:c r="E30" s="144" t="n">
        <x:f>Income!M5</x:f>
        <x:v>700000</x:v>
      </x:c>
      <x:c r="F30" s="144" t="n">
        <x:f>Goods!E5</x:f>
        <x:v>357000</x:v>
      </x:c>
      <x:c r="G30" s="128"/>
      <x:c r="H30" s="128"/>
      <x:c r="I30" s="128"/>
      <x:c r="J30" s="125"/>
      <x:c r="K30" s="125"/>
      <x:c r="L30" s="125"/>
    </x:row>
    <x:row r="31" ht="31" customHeight="1">
      <x:c r="A31" s="128" t="str">
        <x:v>Vale</x:v>
      </x:c>
      <x:c r="B31" s="144" t="n">
        <x:f>Inputs!S6</x:f>
        <x:v>2000000</x:v>
      </x:c>
      <x:c r="C31" s="144" t="n">
        <x:f>Income!J6</x:f>
        <x:v>1200000</x:v>
      </x:c>
      <x:c r="D31" s="144" t="n">
        <x:f>Income!L6</x:f>
        <x:v>800000</x:v>
      </x:c>
      <x:c r="E31" s="144" t="n">
        <x:f>Income!M6</x:f>
        <x:v>2000000</x:v>
      </x:c>
      <x:c r="F31" s="144" t="n">
        <x:f>Goods!E6</x:f>
        <x:v>680000</x:v>
      </x:c>
      <x:c r="G31" s="128"/>
      <x:c r="H31" s="128"/>
      <x:c r="I31" s="128"/>
      <x:c r="J31" s="125"/>
      <x:c r="K31" s="125"/>
      <x:c r="L31" s="125"/>
    </x:row>
    <x:row r="32" ht="31" customHeight="1">
      <x:c r="A32" s="128" t="str">
        <x:v>Riverlands</x:v>
      </x:c>
      <x:c r="B32" s="144" t="n">
        <x:f>Inputs!S7</x:f>
        <x:v>1000000</x:v>
      </x:c>
      <x:c r="C32" s="144" t="n">
        <x:f>Income!J7</x:f>
        <x:v>499999.99999999994</x:v>
      </x:c>
      <x:c r="D32" s="144" t="n">
        <x:f>Income!L7</x:f>
        <x:v>500000</x:v>
      </x:c>
      <x:c r="E32" s="144" t="n">
        <x:f>Income!M7</x:f>
        <x:v>1000000</x:v>
      </x:c>
      <x:c r="F32" s="144" t="n">
        <x:f>Goods!E7</x:f>
        <x:v>425000</x:v>
      </x:c>
      <x:c r="G32" s="128"/>
      <x:c r="H32" s="128"/>
      <x:c r="I32" s="128"/>
      <x:c r="J32" s="125"/>
      <x:c r="K32" s="125"/>
      <x:c r="L32" s="125"/>
    </x:row>
    <x:row r="33" ht="31" customHeight="1">
      <x:c r="A33" s="128" t="str">
        <x:v>Westerlands</x:v>
      </x:c>
      <x:c r="B33" s="144" t="n">
        <x:f>Inputs!S8</x:f>
        <x:v>3800000</x:v>
      </x:c>
      <x:c r="C33" s="144" t="n">
        <x:f>Income!J8</x:f>
        <x:v>3420000</x:v>
      </x:c>
      <x:c r="D33" s="144" t="n">
        <x:f>Income!L8</x:f>
        <x:v>379999.99999999994</x:v>
      </x:c>
      <x:c r="E33" s="144" t="n">
        <x:f>Income!M8</x:f>
        <x:v>3800000</x:v>
      </x:c>
      <x:c r="F33" s="144" t="n">
        <x:f>Goods!E8</x:f>
        <x:v>322999.99999999994</x:v>
      </x:c>
      <x:c r="G33" s="128"/>
      <x:c r="H33" s="128"/>
      <x:c r="I33" s="128"/>
      <x:c r="J33" s="125"/>
      <x:c r="K33" s="125"/>
      <x:c r="L33" s="125"/>
    </x:row>
    <x:row r="34" ht="31" customHeight="1">
      <x:c r="A34" s="128" t="str">
        <x:v>Reach</x:v>
      </x:c>
      <x:c r="B34" s="144" t="n">
        <x:f>Inputs!S9</x:f>
        <x:v>7800000</x:v>
      </x:c>
      <x:c r="C34" s="144" t="n">
        <x:f>Income!J9</x:f>
        <x:v>2730000</x:v>
      </x:c>
      <x:c r="D34" s="144" t="n">
        <x:f>Income!L9</x:f>
        <x:v>5070000</x:v>
      </x:c>
      <x:c r="E34" s="144" t="n">
        <x:f>Income!M9</x:f>
        <x:v>7800000</x:v>
      </x:c>
      <x:c r="F34" s="144" t="n">
        <x:f>Goods!E9</x:f>
        <x:v>4309500</x:v>
      </x:c>
      <x:c r="G34" s="128"/>
      <x:c r="H34" s="128"/>
      <x:c r="I34" s="128"/>
      <x:c r="J34" s="125"/>
      <x:c r="K34" s="125"/>
      <x:c r="L34" s="125"/>
    </x:row>
    <x:row r="35" ht="31" customHeight="1">
      <x:c r="A35" s="128" t="str">
        <x:v>Stormlands</x:v>
      </x:c>
      <x:c r="B35" s="144" t="n">
        <x:f>Inputs!S10</x:f>
        <x:v>750000</x:v>
      </x:c>
      <x:c r="C35" s="144" t="n">
        <x:f>Income!J10</x:f>
        <x:v>337500</x:v>
      </x:c>
      <x:c r="D35" s="144" t="n">
        <x:f>Income!L10</x:f>
        <x:v>412500</x:v>
      </x:c>
      <x:c r="E35" s="144" t="n">
        <x:f>Income!M10</x:f>
        <x:v>750000</x:v>
      </x:c>
      <x:c r="F35" s="144" t="n">
        <x:f>Goods!E10</x:f>
        <x:v>350625</x:v>
      </x:c>
      <x:c r="G35" s="128"/>
      <x:c r="H35" s="128"/>
      <x:c r="I35" s="128"/>
      <x:c r="J35" s="125"/>
      <x:c r="K35" s="125"/>
      <x:c r="L35" s="125"/>
    </x:row>
    <x:row r="36" ht="31" customHeight="1">
      <x:c r="A36" s="128" t="str">
        <x:v>Dorne</x:v>
      </x:c>
      <x:c r="B36" s="144" t="n">
        <x:f>Inputs!S11</x:f>
        <x:v>1000000</x:v>
      </x:c>
      <x:c r="C36" s="144" t="n">
        <x:f>Income!J11</x:f>
        <x:v>650000</x:v>
      </x:c>
      <x:c r="D36" s="144" t="n">
        <x:f>Income!L11</x:f>
        <x:v>350000</x:v>
      </x:c>
      <x:c r="E36" s="144" t="n">
        <x:f>Income!M11</x:f>
        <x:v>1000000</x:v>
      </x:c>
      <x:c r="F36" s="144" t="n">
        <x:f>Goods!E11</x:f>
        <x:v>297500</x:v>
      </x:c>
      <x:c r="G36" s="128"/>
      <x:c r="H36" s="128"/>
      <x:c r="I36" s="128"/>
      <x:c r="J36" s="125"/>
      <x:c r="K36" s="125"/>
      <x:c r="L36" s="125"/>
    </x:row>
    <x:row r="37" ht="31" customHeight="1">
      <x:c r="A37" s="128" t="str">
        <x:v>Iron Islands</x:v>
      </x:c>
      <x:c r="B37" s="144" t="n">
        <x:f>Inputs!S12</x:f>
        <x:v>450000</x:v>
      </x:c>
      <x:c r="C37" s="144" t="n">
        <x:f>Income!J12</x:f>
        <x:v>270000</x:v>
      </x:c>
      <x:c r="D37" s="144" t="n">
        <x:f>Income!L12</x:f>
        <x:v>180000</x:v>
      </x:c>
      <x:c r="E37" s="144" t="n">
        <x:f>Income!M12</x:f>
        <x:v>450000</x:v>
      </x:c>
      <x:c r="F37" s="144" t="n">
        <x:f>Goods!E12</x:f>
        <x:v>153000</x:v>
      </x:c>
      <x:c r="G37" s="128"/>
      <x:c r="H37" s="128"/>
      <x:c r="I37" s="128"/>
      <x:c r="J37" s="125"/>
      <x:c r="K37" s="125"/>
      <x:c r="L37" s="125"/>
    </x:row>
    <x:row r="38" ht="31" customHeight="1">
      <x:c r="A38" s="128" t="str">
        <x:v>Crownlands / Crown</x:v>
      </x:c>
      <x:c r="B38" s="144" t="n">
        <x:f>Inputs!S13</x:f>
        <x:v>1500000</x:v>
      </x:c>
      <x:c r="C38" s="144" t="n">
        <x:f>Income!J13</x:f>
        <x:v>2180000</x:v>
      </x:c>
      <x:c r="D38" s="144" t="n">
        <x:f>Income!L13</x:f>
        <x:v>149999.99999999997</x:v>
      </x:c>
      <x:c r="E38" s="144" t="n">
        <x:f>Income!M13</x:f>
        <x:v>2330000</x:v>
      </x:c>
      <x:c r="F38" s="144" t="n">
        <x:f>Goods!E13</x:f>
        <x:v>127499.99999999999</x:v>
      </x:c>
      <x:c r="G38" s="128"/>
      <x:c r="H38" s="128"/>
      <x:c r="I38" s="128"/>
      <x:c r="J38" s="125"/>
      <x:c r="K38" s="125"/>
      <x:c r="L38" s="125"/>
    </x:row>
    <x:row r="39" ht="28" customHeight="1">
      <x:c r="A39" s="128"/>
      <x:c r="B39" s="128"/>
      <x:c r="C39" s="128"/>
      <x:c r="D39" s="128"/>
      <x:c r="E39" s="128"/>
      <x:c r="F39" s="128"/>
      <x:c r="G39" s="128"/>
      <x:c r="H39" s="128"/>
      <x:c r="I39" s="128"/>
      <x:c r="J39" s="125"/>
      <x:c r="K39" s="125"/>
      <x:c r="L39" s="125"/>
    </x:row>
    <x:row r="40" ht="28" customHeight="1">
      <x:c r="A40" s="128"/>
      <x:c r="B40" s="128"/>
      <x:c r="C40" s="128"/>
      <x:c r="D40" s="128"/>
      <x:c r="E40" s="128"/>
      <x:c r="F40" s="128"/>
      <x:c r="G40" s="128"/>
      <x:c r="H40" s="128"/>
      <x:c r="I40" s="128"/>
      <x:c r="J40" s="125"/>
      <x:c r="K40" s="125"/>
      <x:c r="L40" s="125"/>
    </x:row>
    <x:row r="41" ht="28" customHeight="1">
      <x:c r="A41" s="167" t="str">
        <x:v>Quick distinction: TOTAL INCOME is cash plus tax goods. CLOSING CASH is spendable money after cash expenses and borrowing.</x:v>
      </x:c>
      <x:c r="B41" s="167"/>
      <x:c r="C41" s="167"/>
      <x:c r="D41" s="167"/>
      <x:c r="E41" s="167"/>
      <x:c r="F41" s="167"/>
      <x:c r="G41" s="167"/>
      <x:c r="H41" s="167"/>
      <x:c r="I41" s="167"/>
      <x:c r="J41" s="125"/>
      <x:c r="K41" s="125"/>
      <x:c r="L41" s="125"/>
    </x:row>
    <x:row r="42" ht="28" customHeight="1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25"/>
      <x:c r="K42" s="125"/>
      <x:c r="L42" s="125"/>
    </x:row>
    <x:row r="43" ht="28" customHeight="1">
      <x:c r="A43" s="167" t="str">
        <x:v>The Crown has 1,500,000 G own income plus 830,000 G regional payments in this scenario. Crown amounts and cash shares are new model assumptions.</x:v>
      </x:c>
      <x:c r="B43" s="167"/>
      <x:c r="C43" s="167"/>
      <x:c r="D43" s="167"/>
      <x:c r="E43" s="167"/>
      <x:c r="F43" s="167"/>
      <x:c r="G43" s="167"/>
      <x:c r="H43" s="167"/>
      <x:c r="I43" s="167"/>
      <x:c r="J43" s="125"/>
      <x:c r="K43" s="125"/>
      <x:c r="L43" s="125"/>
    </x:row>
    <x:row r="44" ht="28" customHeight="1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25"/>
      <x:c r="K44" s="125"/>
      <x:c r="L44" s="125"/>
    </x:row>
    <x:row r="45" ht="28" customHeight="1">
      <x:c r="A45" s="128"/>
      <x:c r="B45" s="128"/>
      <x:c r="C45" s="128"/>
      <x:c r="D45" s="128"/>
      <x:c r="E45" s="128"/>
      <x:c r="F45" s="128"/>
      <x:c r="G45" s="128"/>
      <x:c r="H45" s="128"/>
      <x:c r="I45" s="128"/>
      <x:c r="J45" s="125"/>
      <x:c r="K45" s="125"/>
      <x:c r="L45" s="125"/>
    </x:row>
    <x:row r="46" ht="28" customHeight="1">
      <x:c r="A46" s="128"/>
      <x:c r="B46" s="128"/>
      <x:c r="C46" s="128"/>
      <x:c r="D46" s="128"/>
      <x:c r="E46" s="128"/>
      <x:c r="F46" s="128"/>
      <x:c r="G46" s="128"/>
      <x:c r="H46" s="128"/>
      <x:c r="I46" s="128"/>
      <x:c r="J46" s="125"/>
      <x:c r="K46" s="125"/>
      <x:c r="L46" s="125"/>
    </x:row>
    <x:row r="47" ht="28" customHeight="1">
      <x:c r="A47" s="128"/>
      <x:c r="B47" s="128"/>
      <x:c r="C47" s="128"/>
      <x:c r="D47" s="128"/>
      <x:c r="E47" s="128"/>
      <x:c r="F47" s="128"/>
      <x:c r="G47" s="128"/>
      <x:c r="H47" s="128"/>
      <x:c r="I47" s="128"/>
      <x:c r="J47" s="125"/>
      <x:c r="K47" s="125"/>
      <x:c r="L47" s="125"/>
    </x:row>
    <x:row r="48" ht="28" customHeight="1">
      <x:c r="A48" s="128"/>
      <x:c r="B48" s="128"/>
      <x:c r="C48" s="128"/>
      <x:c r="D48" s="128"/>
      <x:c r="E48" s="128"/>
      <x:c r="F48" s="128"/>
      <x:c r="G48" s="128"/>
      <x:c r="H48" s="128"/>
      <x:c r="I48" s="128"/>
      <x:c r="J48" s="125"/>
      <x:c r="K48" s="125"/>
      <x:c r="L48" s="125"/>
    </x:row>
    <x:row r="49" ht="22" customHeight="1">
      <x:c r="A49" s="128"/>
      <x:c r="B49" s="128"/>
      <x:c r="C49" s="128"/>
      <x:c r="D49" s="128"/>
      <x:c r="E49" s="128"/>
      <x:c r="F49" s="128"/>
      <x:c r="G49" s="128"/>
      <x:c r="H49" s="128"/>
      <x:c r="I49" s="128"/>
      <x:c r="J49" s="125"/>
      <x:c r="K49" s="125"/>
      <x:c r="L49" s="125"/>
    </x:row>
    <x:row r="50" ht="22" customHeight="1">
      <x:c r="A50" s="128"/>
      <x:c r="B50" s="128"/>
      <x:c r="C50" s="128"/>
      <x:c r="D50" s="128"/>
      <x:c r="E50" s="128"/>
      <x:c r="F50" s="128"/>
      <x:c r="G50" s="128"/>
      <x:c r="H50" s="128"/>
      <x:c r="I50" s="128"/>
      <x:c r="J50" s="125"/>
      <x:c r="K50" s="125"/>
      <x:c r="L50" s="125"/>
    </x:row>
    <x:row r="51" ht="22" customHeight="1">
      <x:c r="A51" s="128"/>
      <x:c r="B51" s="128"/>
      <x:c r="C51" s="128"/>
      <x:c r="D51" s="128"/>
      <x:c r="E51" s="128"/>
      <x:c r="F51" s="128"/>
      <x:c r="G51" s="128"/>
      <x:c r="H51" s="128"/>
      <x:c r="I51" s="128"/>
      <x:c r="J51" s="125"/>
      <x:c r="K51" s="125"/>
      <x:c r="L51" s="125"/>
    </x:row>
    <x:row r="52" ht="22" customHeight="1">
      <x:c r="A52" s="128"/>
      <x:c r="B52" s="128"/>
      <x:c r="C52" s="128"/>
      <x:c r="D52" s="128"/>
      <x:c r="E52" s="128"/>
      <x:c r="F52" s="128"/>
      <x:c r="G52" s="128"/>
      <x:c r="H52" s="128"/>
      <x:c r="I52" s="128"/>
      <x:c r="J52" s="125"/>
      <x:c r="K52" s="125"/>
      <x:c r="L52" s="125"/>
    </x:row>
  </x:sheetData>
  <x:mergeCells>
    <x:mergeCell ref="A1:I1"/>
    <x:mergeCell ref="C18:I18"/>
    <x:mergeCell ref="C19:I19"/>
    <x:mergeCell ref="C20:I20"/>
    <x:mergeCell ref="C21:I21"/>
    <x:mergeCell ref="C22:I22"/>
    <x:mergeCell ref="A24:I24"/>
    <x:mergeCell ref="A26:I26"/>
    <x:mergeCell ref="A41:I42"/>
    <x:mergeCell ref="A43:I4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40" hidden="0" customWidth="1"/>
    <x:col min="19" max="19" width="21" hidden="0" customWidth="1"/>
    <x:col min="20" max="20" width="21" hidden="0" customWidth="1"/>
    <x:col min="21" max="21" width="21" hidden="0" customWidth="1"/>
  </x:cols>
  <x:sheetData>
    <x:row r="1" ht="32" customHeight="1">
      <x:c r="A1" s="124" t="str">
        <x:v>283 AC | Editable opening positions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124"/>
      <x:c r="N1" s="124"/>
      <x:c r="O1" s="124"/>
      <x:c r="P1" s="124"/>
      <x:c r="Q1" s="124"/>
      <x:c r="R1" s="124"/>
      <x:c r="S1" s="125"/>
      <x:c r="T1" s="125"/>
      <x:c r="U1" s="125"/>
    </x:row>
    <x:row r="2">
      <x:c r="A2" s="125"/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  <x:c r="M2" s="125"/>
      <x:c r="N2" s="125"/>
      <x:c r="O2" s="125"/>
      <x:c r="P2" s="125"/>
      <x:c r="Q2" s="125"/>
      <x:c r="R2" s="125"/>
      <x:c r="S2" s="125"/>
      <x:c r="T2" s="125"/>
      <x:c r="U2" s="125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  <x:c r="M3" s="125"/>
      <x:c r="N3" s="125"/>
      <x:c r="O3" s="125"/>
      <x:c r="P3" s="125"/>
      <x:c r="Q3" s="125"/>
      <x:c r="R3" s="125"/>
      <x:c r="S3" s="125"/>
      <x:c r="T3" s="125"/>
      <x:c r="U3" s="125"/>
    </x:row>
    <x:row r="4" ht="48" customHeight="1">
      <x:c r="A4" s="140" t="str">
        <x:v>Region</x:v>
      </x:c>
      <x:c r="B4" s="140" t="str">
        <x:v>Account</x:v>
      </x:c>
      <x:c r="C4" s="140" t="str">
        <x:v>Population (people)</x:v>
      </x:c>
      <x:c r="D4" s="140" t="str">
        <x:v>Output / head (G)</x:v>
      </x:c>
      <x:c r="E4" s="140" t="str">
        <x:v>Opening cash (G)</x:v>
      </x:c>
      <x:c r="F4" s="140" t="str">
        <x:v>Bullion / plate (G)</x:v>
      </x:c>
      <x:c r="G4" s="140" t="str">
        <x:v>Funded debt (G)</x:v>
      </x:c>
      <x:c r="H4" s="140" t="str">
        <x:v>Annual rate</x:v>
      </x:c>
      <x:c r="I4" s="140" t="str">
        <x:v>Principal due (G)</x:v>
      </x:c>
      <x:c r="J4" s="140" t="str">
        <x:v>Undrawn credit (G)</x:v>
      </x:c>
      <x:c r="K4" s="140" t="str">
        <x:v>Public grain (bu)</x:v>
      </x:c>
      <x:c r="L4" s="140" t="str">
        <x:v>Food grain / head (bu)</x:v>
      </x:c>
      <x:c r="M4" s="140" t="str">
        <x:v>Normal net grain (bu)</x:v>
      </x:c>
      <x:c r="N4" s="140" t="str">
        <x:v>Postwar crop factor</x:v>
      </x:c>
      <x:c r="O4" s="140" t="str">
        <x:v>Import capacity (bu/yr)</x:v>
      </x:c>
      <x:c r="P4" s="140" t="str">
        <x:v>Revenue multiplier</x:v>
      </x:c>
      <x:c r="Q4" s="140" t="str">
        <x:v>Operating cost multiplier</x:v>
      </x:c>
      <x:c r="R4" s="140" t="str">
        <x:v>Evidence</x:v>
      </x:c>
      <x:c r="S4" s="213" t="str">
        <x:v>Normal annual income value G</x:v>
      </x:c>
      <x:c r="T4" s="213" t="str">
        <x:v>Direct cash share</x:v>
      </x:c>
      <x:c r="U4" s="213" t="str">
        <x:v>Potential income value G</x:v>
      </x:c>
    </x:row>
    <x:row r="5" ht="39" customHeight="1">
      <x:c r="A5" s="155" t="str">
        <x:v>North</x:v>
      </x:c>
      <x:c r="B5" s="155" t="str">
        <x:v>House Stark</x:v>
      </x:c>
      <x:c r="C5" s="156" t="n">
        <x:v>3500000</x:v>
      </x:c>
      <x:c r="D5" s="157" t="n">
        <x:v>3</x:v>
      </x:c>
      <x:c r="E5" s="156" t="n">
        <x:v>500000</x:v>
      </x:c>
      <x:c r="F5" s="156" t="n">
        <x:v>150000</x:v>
      </x:c>
      <x:c r="G5" s="156" t="n">
        <x:v>100000</x:v>
      </x:c>
      <x:c r="H5" s="158" t="n">
        <x:v>0.08</x:v>
      </x:c>
      <x:c r="I5" s="156" t="n">
        <x:v>10000</x:v>
      </x:c>
      <x:c r="J5" s="156" t="n">
        <x:v>150000</x:v>
      </x:c>
      <x:c r="K5" s="156" t="n">
        <x:v>250000</x:v>
      </x:c>
      <x:c r="L5" s="159" t="n">
        <x:v>6</x:v>
      </x:c>
      <x:c r="M5" s="156" t="n">
        <x:v>21300000</x:v>
      </x:c>
      <x:c r="N5" s="158" t="n">
        <x:v>0.98</x:v>
      </x:c>
      <x:c r="O5" s="156" t="n">
        <x:v>300000</x:v>
      </x:c>
      <x:c r="P5" s="160" t="n">
        <x:v>1</x:v>
      </x:c>
      <x:c r="Q5" s="160" t="n">
        <x:v>1</x:v>
      </x:c>
      <x:c r="R5" s="161" t="str">
        <x:v>M3: v2 scenario choices; income target F1/F2, not canonical accounts.</x:v>
      </x:c>
      <x:c r="S5" s="156" t="n">
        <x:v>700000</x:v>
      </x:c>
      <x:c r="T5" s="171" t="n">
        <x:v>0.4</x:v>
      </x:c>
      <x:c r="U5" s="156" t="n">
        <x:v>700000</x:v>
      </x:c>
    </x:row>
    <x:row r="6" ht="39" customHeight="1">
      <x:c r="A6" s="155" t="str">
        <x:v>Vale</x:v>
      </x:c>
      <x:c r="B6" s="155" t="str">
        <x:v>House Arryn</x:v>
      </x:c>
      <x:c r="C6" s="156" t="n">
        <x:v>3000000</x:v>
      </x:c>
      <x:c r="D6" s="157" t="n">
        <x:v>6</x:v>
      </x:c>
      <x:c r="E6" s="156" t="n">
        <x:v>1500000</x:v>
      </x:c>
      <x:c r="F6" s="156" t="n">
        <x:v>350000</x:v>
      </x:c>
      <x:c r="G6" s="156" t="n">
        <x:v>200000</x:v>
      </x:c>
      <x:c r="H6" s="158" t="n">
        <x:v>0.08</x:v>
      </x:c>
      <x:c r="I6" s="156" t="n">
        <x:v>25000</x:v>
      </x:c>
      <x:c r="J6" s="156" t="n">
        <x:v>400000</x:v>
      </x:c>
      <x:c r="K6" s="156" t="n">
        <x:v>180000</x:v>
      </x:c>
      <x:c r="L6" s="159" t="n">
        <x:v>6</x:v>
      </x:c>
      <x:c r="M6" s="156" t="n">
        <x:v>20000000</x:v>
      </x:c>
      <x:c r="N6" s="158" t="n">
        <x:v>0.98</x:v>
      </x:c>
      <x:c r="O6" s="156" t="n">
        <x:v>500000</x:v>
      </x:c>
      <x:c r="P6" s="160" t="n">
        <x:v>1</x:v>
      </x:c>
      <x:c r="Q6" s="160" t="n">
        <x:v>1</x:v>
      </x:c>
      <x:c r="R6" s="161" t="str">
        <x:v>M3: v2 scenario choices; income target F1/F2, not canonical accounts.</x:v>
      </x:c>
      <x:c r="S6" s="156" t="n">
        <x:v>2000000</x:v>
      </x:c>
      <x:c r="T6" s="171" t="n">
        <x:v>0.6</x:v>
      </x:c>
      <x:c r="U6" s="156" t="n">
        <x:v>2000000</x:v>
      </x:c>
    </x:row>
    <x:row r="7" ht="39" customHeight="1">
      <x:c r="A7" s="155" t="str">
        <x:v>Riverlands</x:v>
      </x:c>
      <x:c r="B7" s="155" t="str">
        <x:v>House Tully</x:v>
      </x:c>
      <x:c r="C7" s="156" t="n">
        <x:v>4000000</x:v>
      </x:c>
      <x:c r="D7" s="157" t="n">
        <x:v>5</x:v>
      </x:c>
      <x:c r="E7" s="156" t="n">
        <x:v>400000</x:v>
      </x:c>
      <x:c r="F7" s="156" t="n">
        <x:v>100000</x:v>
      </x:c>
      <x:c r="G7" s="156" t="n">
        <x:v>300000</x:v>
      </x:c>
      <x:c r="H7" s="158" t="n">
        <x:v>0.08</x:v>
      </x:c>
      <x:c r="I7" s="156" t="n">
        <x:v>25000</x:v>
      </x:c>
      <x:c r="J7" s="156" t="n">
        <x:v>200000</x:v>
      </x:c>
      <x:c r="K7" s="156" t="n">
        <x:v>150000</x:v>
      </x:c>
      <x:c r="L7" s="159" t="n">
        <x:v>6</x:v>
      </x:c>
      <x:c r="M7" s="156" t="n">
        <x:v>27000000</x:v>
      </x:c>
      <x:c r="N7" s="158" t="n">
        <x:v>0.85</x:v>
      </x:c>
      <x:c r="O7" s="156" t="n">
        <x:v>1200000</x:v>
      </x:c>
      <x:c r="P7" s="160" t="n">
        <x:v>1</x:v>
      </x:c>
      <x:c r="Q7" s="160" t="n">
        <x:v>1</x:v>
      </x:c>
      <x:c r="R7" s="161" t="str">
        <x:v>M3: v2 scenario choices; income target F1/F2, not canonical accounts.</x:v>
      </x:c>
      <x:c r="S7" s="156" t="n">
        <x:v>1000000</x:v>
      </x:c>
      <x:c r="T7" s="171" t="n">
        <x:v>0.5</x:v>
      </x:c>
      <x:c r="U7" s="156" t="n">
        <x:v>2000000</x:v>
      </x:c>
    </x:row>
    <x:row r="8" ht="39" customHeight="1">
      <x:c r="A8" s="155" t="str">
        <x:v>Westerlands</x:v>
      </x:c>
      <x:c r="B8" s="155" t="str">
        <x:v>House Lannister</x:v>
      </x:c>
      <x:c r="C8" s="156" t="n">
        <x:v>4500000</x:v>
      </x:c>
      <x:c r="D8" s="157" t="n">
        <x:v>10</x:v>
      </x:c>
      <x:c r="E8" s="156" t="n">
        <x:v>10000000</x:v>
      </x:c>
      <x:c r="F8" s="156" t="n">
        <x:v>3000000</x:v>
      </x:c>
      <x:c r="G8" s="156" t="n">
        <x:v>0</x:v>
      </x:c>
      <x:c r="H8" s="158" t="n">
        <x:v>0.08</x:v>
      </x:c>
      <x:c r="I8" s="156" t="n">
        <x:v>0</x:v>
      </x:c>
      <x:c r="J8" s="156" t="n">
        <x:v>1000000</x:v>
      </x:c>
      <x:c r="K8" s="156" t="n">
        <x:v>250000</x:v>
      </x:c>
      <x:c r="L8" s="159" t="n">
        <x:v>6</x:v>
      </x:c>
      <x:c r="M8" s="156" t="n">
        <x:v>27500000</x:v>
      </x:c>
      <x:c r="N8" s="158" t="n">
        <x:v>0.99</x:v>
      </x:c>
      <x:c r="O8" s="156" t="n">
        <x:v>1000000</x:v>
      </x:c>
      <x:c r="P8" s="160" t="n">
        <x:v>1</x:v>
      </x:c>
      <x:c r="Q8" s="160" t="n">
        <x:v>1</x:v>
      </x:c>
      <x:c r="R8" s="161" t="str">
        <x:v>M3: v2 scenario choices; income target F1/F2, not canonical accounts.</x:v>
      </x:c>
      <x:c r="S8" s="156" t="n">
        <x:v>3800000</x:v>
      </x:c>
      <x:c r="T8" s="171" t="n">
        <x:v>0.9</x:v>
      </x:c>
      <x:c r="U8" s="156" t="n">
        <x:v>3800000</x:v>
      </x:c>
    </x:row>
    <x:row r="9" ht="39" customHeight="1">
      <x:c r="A9" s="155" t="str">
        <x:v>Reach</x:v>
      </x:c>
      <x:c r="B9" s="155" t="str">
        <x:v>House Tyrell</x:v>
      </x:c>
      <x:c r="C9" s="156" t="n">
        <x:v>10000000</x:v>
      </x:c>
      <x:c r="D9" s="157" t="n">
        <x:v>8</x:v>
      </x:c>
      <x:c r="E9" s="156" t="n">
        <x:v>3000000</x:v>
      </x:c>
      <x:c r="F9" s="156" t="n">
        <x:v>1000000</x:v>
      </x:c>
      <x:c r="G9" s="156" t="n">
        <x:v>400000</x:v>
      </x:c>
      <x:c r="H9" s="158" t="n">
        <x:v>0.08</x:v>
      </x:c>
      <x:c r="I9" s="156" t="n">
        <x:v>50000</x:v>
      </x:c>
      <x:c r="J9" s="156" t="n">
        <x:v>750000</x:v>
      </x:c>
      <x:c r="K9" s="156" t="n">
        <x:v>600000</x:v>
      </x:c>
      <x:c r="L9" s="159" t="n">
        <x:v>6</x:v>
      </x:c>
      <x:c r="M9" s="156" t="n">
        <x:v>74000000</x:v>
      </x:c>
      <x:c r="N9" s="158" t="n">
        <x:v>0.97</x:v>
      </x:c>
      <x:c r="O9" s="156" t="n">
        <x:v>1000000</x:v>
      </x:c>
      <x:c r="P9" s="160" t="n">
        <x:v>1</x:v>
      </x:c>
      <x:c r="Q9" s="160" t="n">
        <x:v>1</x:v>
      </x:c>
      <x:c r="R9" s="161" t="str">
        <x:v>M3: v2 scenario choices; income target F1/F2, not canonical accounts.</x:v>
      </x:c>
      <x:c r="S9" s="156" t="n">
        <x:v>7800000</x:v>
      </x:c>
      <x:c r="T9" s="171" t="n">
        <x:v>0.35</x:v>
      </x:c>
      <x:c r="U9" s="156" t="n">
        <x:v>7800000</x:v>
      </x:c>
    </x:row>
    <x:row r="10" ht="39" customHeight="1">
      <x:c r="A10" s="155" t="str">
        <x:v>Stormlands</x:v>
      </x:c>
      <x:c r="B10" s="155" t="str">
        <x:v>Storm's End administration</x:v>
      </x:c>
      <x:c r="C10" s="156" t="n">
        <x:v>2000000</x:v>
      </x:c>
      <x:c r="D10" s="157" t="n">
        <x:v>4</x:v>
      </x:c>
      <x:c r="E10" s="156" t="n">
        <x:v>200000</x:v>
      </x:c>
      <x:c r="F10" s="156" t="n">
        <x:v>75000</x:v>
      </x:c>
      <x:c r="G10" s="156" t="n">
        <x:v>180000</x:v>
      </x:c>
      <x:c r="H10" s="158" t="n">
        <x:v>0.1</x:v>
      </x:c>
      <x:c r="I10" s="156" t="n">
        <x:v>15000</x:v>
      </x:c>
      <x:c r="J10" s="156" t="n">
        <x:v>150000</x:v>
      </x:c>
      <x:c r="K10" s="156" t="n">
        <x:v>60000</x:v>
      </x:c>
      <x:c r="L10" s="159" t="n">
        <x:v>6</x:v>
      </x:c>
      <x:c r="M10" s="156" t="n">
        <x:v>12300000</x:v>
      </x:c>
      <x:c r="N10" s="158" t="n">
        <x:v>0.85</x:v>
      </x:c>
      <x:c r="O10" s="156" t="n">
        <x:v>1600000</x:v>
      </x:c>
      <x:c r="P10" s="160" t="n">
        <x:v>1</x:v>
      </x:c>
      <x:c r="Q10" s="160" t="n">
        <x:v>1</x:v>
      </x:c>
      <x:c r="R10" s="161" t="str">
        <x:v>M3: v2 scenario choices; income target F1/F2, not canonical accounts.</x:v>
      </x:c>
      <x:c r="S10" s="156" t="n">
        <x:v>750000</x:v>
      </x:c>
      <x:c r="T10" s="171" t="n">
        <x:v>0.45</x:v>
      </x:c>
      <x:c r="U10" s="156" t="n">
        <x:v>750000</x:v>
      </x:c>
    </x:row>
    <x:row r="11" ht="39" customHeight="1">
      <x:c r="A11" s="155" t="str">
        <x:v>Dorne</x:v>
      </x:c>
      <x:c r="B11" s="155" t="str">
        <x:v>House Martell</x:v>
      </x:c>
      <x:c r="C11" s="156" t="n">
        <x:v>2000000</x:v>
      </x:c>
      <x:c r="D11" s="157" t="n">
        <x:v>5</x:v>
      </x:c>
      <x:c r="E11" s="156" t="n">
        <x:v>700000</x:v>
      </x:c>
      <x:c r="F11" s="156" t="n">
        <x:v>200000</x:v>
      </x:c>
      <x:c r="G11" s="156" t="n">
        <x:v>200000</x:v>
      </x:c>
      <x:c r="H11" s="158" t="n">
        <x:v>0.08</x:v>
      </x:c>
      <x:c r="I11" s="156" t="n">
        <x:v>20000</x:v>
      </x:c>
      <x:c r="J11" s="156" t="n">
        <x:v>250000</x:v>
      </x:c>
      <x:c r="K11" s="156" t="n">
        <x:v>140000</x:v>
      </x:c>
      <x:c r="L11" s="159" t="n">
        <x:v>5.5</x:v>
      </x:c>
      <x:c r="M11" s="156" t="n">
        <x:v>10000000</x:v>
      </x:c>
      <x:c r="N11" s="158" t="n">
        <x:v>0.98</x:v>
      </x:c>
      <x:c r="O11" s="156" t="n">
        <x:v>1300000</x:v>
      </x:c>
      <x:c r="P11" s="160" t="n">
        <x:v>1</x:v>
      </x:c>
      <x:c r="Q11" s="160" t="n">
        <x:v>1</x:v>
      </x:c>
      <x:c r="R11" s="161" t="str">
        <x:v>M3: v2 scenario choices; income target F1/F2, not canonical accounts.</x:v>
      </x:c>
      <x:c r="S11" s="156" t="n">
        <x:v>1000000</x:v>
      </x:c>
      <x:c r="T11" s="171" t="n">
        <x:v>0.65</x:v>
      </x:c>
      <x:c r="U11" s="156" t="n">
        <x:v>1000000</x:v>
      </x:c>
    </x:row>
    <x:row r="12" ht="39" customHeight="1">
      <x:c r="A12" s="155" t="str">
        <x:v>Iron Islands</x:v>
      </x:c>
      <x:c r="B12" s="155" t="str">
        <x:v>House Greyjoy</x:v>
      </x:c>
      <x:c r="C12" s="156" t="n">
        <x:v>700000</x:v>
      </x:c>
      <x:c r="D12" s="157" t="n">
        <x:v>4</x:v>
      </x:c>
      <x:c r="E12" s="156" t="n">
        <x:v>175000</x:v>
      </x:c>
      <x:c r="F12" s="156" t="n">
        <x:v>60000</x:v>
      </x:c>
      <x:c r="G12" s="156" t="n">
        <x:v>80000</x:v>
      </x:c>
      <x:c r="H12" s="158" t="n">
        <x:v>0.1</x:v>
      </x:c>
      <x:c r="I12" s="156" t="n">
        <x:v>10000</x:v>
      </x:c>
      <x:c r="J12" s="156" t="n">
        <x:v>75000</x:v>
      </x:c>
      <x:c r="K12" s="156" t="n">
        <x:v>60000</x:v>
      </x:c>
      <x:c r="L12" s="159" t="n">
        <x:v>3.5</x:v>
      </x:c>
      <x:c r="M12" s="156" t="n">
        <x:v>2000000</x:v>
      </x:c>
      <x:c r="N12" s="158" t="n">
        <x:v>0.98</x:v>
      </x:c>
      <x:c r="O12" s="156" t="n">
        <x:v>600000</x:v>
      </x:c>
      <x:c r="P12" s="160" t="n">
        <x:v>1</x:v>
      </x:c>
      <x:c r="Q12" s="160" t="n">
        <x:v>1</x:v>
      </x:c>
      <x:c r="R12" s="161" t="str">
        <x:v>M3: v2 scenario choices; income target F1/F2, not canonical accounts.</x:v>
      </x:c>
      <x:c r="S12" s="156" t="n">
        <x:v>450000</x:v>
      </x:c>
      <x:c r="T12" s="171" t="n">
        <x:v>0.6</x:v>
      </x:c>
      <x:c r="U12" s="156" t="n">
        <x:v>450000</x:v>
      </x:c>
    </x:row>
    <x:row r="13" ht="39" customHeight="1">
      <x:c r="A13" s="155" t="str">
        <x:v>Crownlands / Crown</x:v>
      </x:c>
      <x:c r="B13" s="155" t="str">
        <x:v>Iron Throne</x:v>
      </x:c>
      <x:c r="C13" s="156" t="n">
        <x:v>2000000</x:v>
      </x:c>
      <x:c r="D13" s="157" t="n">
        <x:v>8</x:v>
      </x:c>
      <x:c r="E13" s="156" t="n">
        <x:v>3000000</x:v>
      </x:c>
      <x:c r="F13" s="156" t="n">
        <x:v>600000</x:v>
      </x:c>
      <x:c r="G13" s="156" t="n">
        <x:v>0</x:v>
      </x:c>
      <x:c r="H13" s="158" t="n">
        <x:v>0.08</x:v>
      </x:c>
      <x:c r="I13" s="156" t="n">
        <x:v>0</x:v>
      </x:c>
      <x:c r="J13" s="156" t="n">
        <x:v>1000000</x:v>
      </x:c>
      <x:c r="K13" s="156" t="n">
        <x:v>300000</x:v>
      </x:c>
      <x:c r="L13" s="159" t="n">
        <x:v>6</x:v>
      </x:c>
      <x:c r="M13" s="156" t="n">
        <x:v>8000000</x:v>
      </x:c>
      <x:c r="N13" s="158" t="n">
        <x:v>0.88</x:v>
      </x:c>
      <x:c r="O13" s="156" t="n">
        <x:v>5200000</x:v>
      </x:c>
      <x:c r="P13" s="160" t="n">
        <x:v>1</x:v>
      </x:c>
      <x:c r="Q13" s="160" t="n">
        <x:v>1</x:v>
      </x:c>
      <x:c r="R13" s="161" t="str">
        <x:v>M3: v2 scenario choices; income target F1/F2, not canonical accounts.</x:v>
      </x:c>
      <x:c r="S13" s="156" t="n">
        <x:v>1500000</x:v>
      </x:c>
      <x:c r="T13" s="171" t="n">
        <x:v>0.9</x:v>
      </x:c>
      <x:c r="U13" s="156" t="n">
        <x:v>1500000</x:v>
      </x:c>
    </x:row>
    <x:row r="14" ht="28" customHeight="1">
      <x:c r="A14" s="128"/>
      <x:c r="B14" s="128"/>
      <x:c r="C14" s="128"/>
      <x:c r="D14" s="128"/>
      <x:c r="E14" s="128"/>
      <x:c r="F14" s="128"/>
      <x:c r="G14" s="128"/>
      <x:c r="H14" s="128"/>
      <x:c r="I14" s="128"/>
      <x:c r="J14" s="128"/>
      <x:c r="K14" s="128"/>
      <x:c r="L14" s="128"/>
      <x:c r="M14" s="128"/>
      <x:c r="N14" s="128"/>
      <x:c r="O14" s="128"/>
      <x:c r="P14" s="128"/>
      <x:c r="Q14" s="128"/>
      <x:c r="R14" s="128"/>
      <x:c r="S14" s="125"/>
      <x:c r="T14" s="125"/>
      <x:c r="U14" s="125"/>
    </x:row>
    <x:row r="15" ht="28" customHeight="1">
      <x:c r="A15" s="128"/>
      <x:c r="B15" s="128"/>
      <x:c r="C15" s="128"/>
      <x:c r="D15" s="128"/>
      <x:c r="E15" s="128"/>
      <x:c r="F15" s="128"/>
      <x:c r="G15" s="128"/>
      <x:c r="H15" s="128"/>
      <x:c r="I15" s="128"/>
      <x:c r="J15" s="128"/>
      <x:c r="K15" s="128"/>
      <x:c r="L15" s="128"/>
      <x:c r="M15" s="128"/>
      <x:c r="N15" s="128"/>
      <x:c r="O15" s="128"/>
      <x:c r="P15" s="128"/>
      <x:c r="Q15" s="128"/>
      <x:c r="R15" s="128"/>
      <x:c r="S15" s="125"/>
      <x:c r="T15" s="125"/>
      <x:c r="U15" s="125"/>
    </x:row>
    <x:row r="16" ht="35" customHeight="1">
      <x:c r="A16" s="131" t="str">
        <x:v>Cash is separate from goods, bullion and unused credit. S = agreed annual value; T = assumed cash share; U = potential, not extra income.</x:v>
      </x:c>
      <x:c r="B16" s="131"/>
      <x:c r="C16" s="131"/>
      <x:c r="D16" s="131"/>
      <x:c r="E16" s="131"/>
      <x:c r="F16" s="131"/>
      <x:c r="G16" s="131"/>
      <x:c r="H16" s="131"/>
      <x:c r="I16" s="131"/>
      <x:c r="J16" s="131"/>
      <x:c r="K16" s="131"/>
      <x:c r="L16" s="131"/>
      <x:c r="M16" s="131"/>
      <x:c r="N16" s="131"/>
      <x:c r="O16" s="131"/>
      <x:c r="P16" s="131"/>
      <x:c r="Q16" s="131"/>
      <x:c r="R16" s="131"/>
      <x:c r="S16" s="125"/>
      <x:c r="T16" s="125"/>
      <x:c r="U16" s="125"/>
    </x:row>
    <x:row r="17" ht="35" customHeight="1">
      <x:c r="A17" s="131" t="str">
        <x:v>P controls first-year collections; it starts at 100%. No additional unlabelled postwar revenue haircut is applied.</x:v>
      </x:c>
      <x:c r="B17" s="131"/>
      <x:c r="C17" s="131"/>
      <x:c r="D17" s="131"/>
      <x:c r="E17" s="131"/>
      <x:c r="F17" s="131"/>
      <x:c r="G17" s="131"/>
      <x:c r="H17" s="131"/>
      <x:c r="I17" s="131"/>
      <x:c r="J17" s="131"/>
      <x:c r="K17" s="131"/>
      <x:c r="L17" s="131"/>
      <x:c r="M17" s="131"/>
      <x:c r="N17" s="131"/>
      <x:c r="O17" s="131"/>
      <x:c r="P17" s="131"/>
      <x:c r="Q17" s="131"/>
      <x:c r="R17" s="131"/>
      <x:c r="S17" s="125"/>
      <x:c r="T17" s="125"/>
      <x:c r="U17" s="125"/>
    </x:row>
    <x:row r="18" ht="22" customHeight="1">
      <x:c r="A18" s="128"/>
      <x:c r="B18" s="128"/>
      <x:c r="C18" s="128"/>
      <x:c r="D18" s="128"/>
      <x:c r="E18" s="128"/>
      <x:c r="F18" s="128"/>
      <x:c r="G18" s="128"/>
      <x:c r="H18" s="128"/>
      <x:c r="I18" s="128"/>
      <x:c r="J18" s="128"/>
      <x:c r="K18" s="128"/>
      <x:c r="L18" s="128"/>
      <x:c r="M18" s="128"/>
      <x:c r="N18" s="128"/>
      <x:c r="O18" s="128"/>
      <x:c r="P18" s="128"/>
      <x:c r="Q18" s="128"/>
      <x:c r="R18" s="128"/>
      <x:c r="S18" s="125"/>
      <x:c r="T18" s="125"/>
      <x:c r="U18" s="125"/>
    </x:row>
    <x:row r="19">
      <x:c r="A19" s="125"/>
      <x:c r="B19" s="125"/>
      <x:c r="C19" s="125"/>
      <x:c r="D19" s="125"/>
      <x:c r="E19" s="125"/>
      <x:c r="F19" s="125"/>
      <x:c r="G19" s="125"/>
      <x:c r="H19" s="125"/>
      <x:c r="I19" s="125"/>
      <x:c r="J19" s="125"/>
      <x:c r="K19" s="125"/>
      <x:c r="L19" s="125"/>
      <x:c r="M19" s="125"/>
      <x:c r="N19" s="125"/>
      <x:c r="O19" s="125"/>
      <x:c r="P19" s="125"/>
      <x:c r="Q19" s="125"/>
      <x:c r="R19" s="125"/>
      <x:c r="S19" s="125"/>
      <x:c r="T19" s="125"/>
      <x:c r="U19" s="125"/>
    </x:row>
  </x:sheetData>
  <x:mergeCells>
    <x:mergeCell ref="A1:R1"/>
    <x:mergeCell ref="A16:R16"/>
    <x:mergeCell ref="A17:R17"/>
  </x:mergeCells>
  <x:pageMargins left="0.7" right="0.7" top="0.75" bottom="0.75" header="0.3" footer="0.3"/>
  <x:legacyDrawing xmlns:r="http://schemas.openxmlformats.org/officeDocument/2006/relationships" r:id="R262475a09b1145ef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6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2" customHeight="1">
      <x:c r="A1" s="124" t="str">
        <x:v>Income: cash receipts and goods are separate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5"/>
      <x:c r="M1" s="125"/>
      <x:c r="N1" s="125"/>
      <x:c r="O1" s="125"/>
    </x:row>
    <x:row r="2">
      <x:c r="A2" s="125" t="str">
        <x:v>Category multipliers →</x:v>
      </x:c>
      <x:c r="B2" s="166" t="n">
        <x:v>1</x:v>
      </x:c>
      <x:c r="C2" s="166" t="n">
        <x:v>1</x:v>
      </x:c>
      <x:c r="D2" s="166" t="n">
        <x:v>1</x:v>
      </x:c>
      <x:c r="E2" s="166" t="n">
        <x:v>1</x:v>
      </x:c>
      <x:c r="F2" s="166" t="n">
        <x:v>1</x:v>
      </x:c>
      <x:c r="G2" s="166" t="n">
        <x:v>1</x:v>
      </x:c>
      <x:c r="H2" s="125"/>
      <x:c r="I2" s="125"/>
      <x:c r="J2" s="125"/>
      <x:c r="K2" s="125"/>
      <x:c r="L2" s="125"/>
      <x:c r="M2" s="125"/>
      <x:c r="N2" s="125"/>
      <x:c r="O2" s="125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  <x:c r="M3" s="125"/>
      <x:c r="N3" s="125"/>
      <x:c r="O3" s="125"/>
    </x:row>
    <x:row r="4" ht="62" customHeight="1">
      <x:c r="A4" s="140" t="str">
        <x:v>Region</x:v>
      </x:c>
      <x:c r="B4" s="140" t="str">
        <x:v>Demesne / estates</x:v>
      </x:c>
      <x:c r="C4" s="140" t="str">
        <x:v>Vassal cash dues</x:v>
      </x:c>
      <x:c r="D4" s="140" t="str">
        <x:v>Customs / trade share</x:v>
      </x:c>
      <x:c r="E4" s="140" t="str">
        <x:v>Resource net profits</x:v>
      </x:c>
      <x:c r="F4" s="140" t="str">
        <x:v>Towns / mills / markets</x:v>
      </x:c>
      <x:c r="G4" s="140" t="str">
        <x:v>Justice / incidents</x:v>
      </x:c>
      <x:c r="H4" s="140" t="str">
        <x:v>Own-source receipts</x:v>
      </x:c>
      <x:c r="I4" s="140" t="str">
        <x:v>Transfers received</x:v>
      </x:c>
      <x:c r="J4" s="140" t="str">
        <x:v>Total cash receipts</x:v>
      </x:c>
      <x:c r="K4" s="140" t="str">
        <x:v>Evidence</x:v>
      </x:c>
      <x:c r="L4" s="213" t="str">
        <x:v>Goods received: value G</x:v>
      </x:c>
      <x:c r="M4" s="213" t="str">
        <x:v>Total income value G</x:v>
      </x:c>
      <x:c r="N4" s="213" t="str">
        <x:v>Goods sold: cash G</x:v>
      </x:c>
      <x:c r="O4" s="213" t="str">
        <x:v>Normal own income G</x:v>
      </x:c>
    </x:row>
    <x:row r="5" ht="28" customHeight="1">
      <x:c r="A5" s="128" t="str">
        <x:v>North</x:v>
      </x:c>
      <x:c r="B5" s="156" t="n">
        <x:f>Inputs!$S5*Inputs!$T5*'Cash mix'!B5</x:f>
        <x:v>61090.90909090909</x:v>
      </x:c>
      <x:c r="C5" s="156" t="n">
        <x:f>Inputs!$S5*Inputs!$T5*'Cash mix'!C5</x:f>
        <x:v>96727.27272727274</x:v>
      </x:c>
      <x:c r="D5" s="156" t="n">
        <x:f>Inputs!$S5*Inputs!$T5*'Cash mix'!D5</x:f>
        <x:v>50909.09090909091</x:v>
      </x:c>
      <x:c r="E5" s="156" t="n">
        <x:f>Inputs!$S5*Inputs!$T5*'Cash mix'!E5</x:f>
        <x:v>40727.27272727273</x:v>
      </x:c>
      <x:c r="F5" s="156" t="n">
        <x:f>Inputs!$S5*Inputs!$T5*'Cash mix'!F5</x:f>
        <x:v>15272.727272727272</x:v>
      </x:c>
      <x:c r="G5" s="156" t="n">
        <x:f>Inputs!$S5*Inputs!$T5*'Cash mix'!G5</x:f>
        <x:v>15272.727272727272</x:v>
      </x:c>
      <x:c r="H5" s="141" t="n">
        <x:f>SUMPRODUCT(B5:G5,$B$2:$G$2)*Inputs!P5</x:f>
        <x:v>280000.00000000006</x:v>
      </x:c>
      <x:c r="I5" s="141" t="n">
        <x:f>0</x:f>
        <x:v>0</x:v>
      </x:c>
      <x:c r="J5" s="141" t="n">
        <x:f>SUM(H5:I5)+N5</x:f>
        <x:v>280000.00000000006</x:v>
      </x:c>
      <x:c r="K5" s="147" t="str">
        <x:v>F1/F2 target; M3 cash split and sector allocation; no additional mining dividend.</x:v>
      </x:c>
      <x:c r="L5" s="214" t="n">
        <x:f>SUMIF('Goods detail'!$A$5:$A$67,A5,'Goods detail'!$I$5:$I$67)</x:f>
        <x:v>420000</x:v>
      </x:c>
      <x:c r="M5" s="214" t="n">
        <x:f>SUM(H5:I5)+L5</x:f>
        <x:v>700000</x:v>
      </x:c>
      <x:c r="N5" s="214" t="n">
        <x:f>SUMIF('Goods detail'!$A$5:$A$67,A5,'Goods detail'!$Q$5:$Q$67)</x:f>
        <x:v>0</x:v>
      </x:c>
      <x:c r="O5" s="214" t="n">
        <x:f>Inputs!S5</x:f>
        <x:v>700000</x:v>
      </x:c>
    </x:row>
    <x:row r="6" ht="28" customHeight="1">
      <x:c r="A6" s="128" t="str">
        <x:v>Vale</x:v>
      </x:c>
      <x:c r="B6" s="156" t="n">
        <x:f>Inputs!$S6*Inputs!$T6*'Cash mix'!B6</x:f>
        <x:v>300000</x:v>
      </x:c>
      <x:c r="C6" s="156" t="n">
        <x:f>Inputs!$S6*Inputs!$T6*'Cash mix'!C6</x:f>
        <x:v>384000</x:v>
      </x:c>
      <x:c r="D6" s="156" t="n">
        <x:f>Inputs!$S6*Inputs!$T6*'Cash mix'!D6</x:f>
        <x:v>300000</x:v>
      </x:c>
      <x:c r="E6" s="156" t="n">
        <x:f>Inputs!$S6*Inputs!$T6*'Cash mix'!E6</x:f>
        <x:v>72000</x:v>
      </x:c>
      <x:c r="F6" s="156" t="n">
        <x:f>Inputs!$S6*Inputs!$T6*'Cash mix'!F6</x:f>
        <x:v>84000.00000000001</x:v>
      </x:c>
      <x:c r="G6" s="156" t="n">
        <x:f>Inputs!$S6*Inputs!$T6*'Cash mix'!G6</x:f>
        <x:v>60000</x:v>
      </x:c>
      <x:c r="H6" s="141" t="n">
        <x:f>SUMPRODUCT(B6:G6,$B$2:$G$2)*Inputs!P6</x:f>
        <x:v>1200000</x:v>
      </x:c>
      <x:c r="I6" s="141" t="n">
        <x:f>0</x:f>
        <x:v>0</x:v>
      </x:c>
      <x:c r="J6" s="141" t="n">
        <x:f>SUM(H6:I6)+N6</x:f>
        <x:v>1200000</x:v>
      </x:c>
      <x:c r="K6" s="147" t="str">
        <x:v>F1/F2 target; M3 cash split and sector allocation; no additional mining dividend.</x:v>
      </x:c>
      <x:c r="L6" s="214" t="n">
        <x:f>SUMIF('Goods detail'!$A$5:$A$67,A6,'Goods detail'!$I$5:$I$67)</x:f>
        <x:v>800000</x:v>
      </x:c>
      <x:c r="M6" s="214" t="n">
        <x:f>SUM(H6:I6)+L6</x:f>
        <x:v>2000000</x:v>
      </x:c>
      <x:c r="N6" s="214" t="n">
        <x:f>SUMIF('Goods detail'!$A$5:$A$67,A6,'Goods detail'!$Q$5:$Q$67)</x:f>
        <x:v>0</x:v>
      </x:c>
      <x:c r="O6" s="214" t="n">
        <x:f>Inputs!S6</x:f>
        <x:v>2000000</x:v>
      </x:c>
    </x:row>
    <x:row r="7" ht="28" customHeight="1">
      <x:c r="A7" s="128" t="str">
        <x:v>Riverlands</x:v>
      </x:c>
      <x:c r="B7" s="156" t="n">
        <x:f>Inputs!$S7*Inputs!$T7*'Cash mix'!B7</x:f>
        <x:v>120000</x:v>
      </x:c>
      <x:c r="C7" s="156" t="n">
        <x:f>Inputs!$S7*Inputs!$T7*'Cash mix'!C7</x:f>
        <x:v>166666.66666666666</x:v>
      </x:c>
      <x:c r="D7" s="156" t="n">
        <x:f>Inputs!$S7*Inputs!$T7*'Cash mix'!D7</x:f>
        <x:v>100000</x:v>
      </x:c>
      <x:c r="E7" s="156" t="n">
        <x:f>Inputs!$S7*Inputs!$T7*'Cash mix'!E7</x:f>
        <x:v>33333.333333333336</x:v>
      </x:c>
      <x:c r="F7" s="156" t="n">
        <x:f>Inputs!$S7*Inputs!$T7*'Cash mix'!F7</x:f>
        <x:v>46666.66666666667</x:v>
      </x:c>
      <x:c r="G7" s="156" t="n">
        <x:f>Inputs!$S7*Inputs!$T7*'Cash mix'!G7</x:f>
        <x:v>33333.333333333336</x:v>
      </x:c>
      <x:c r="H7" s="141" t="n">
        <x:f>SUMPRODUCT(B7:G7,$B$2:$G$2)*Inputs!P7</x:f>
        <x:v>499999.99999999994</x:v>
      </x:c>
      <x:c r="I7" s="141" t="n">
        <x:f>0</x:f>
        <x:v>0</x:v>
      </x:c>
      <x:c r="J7" s="141" t="n">
        <x:f>SUM(H7:I7)+N7</x:f>
        <x:v>499999.99999999994</x:v>
      </x:c>
      <x:c r="K7" s="147" t="str">
        <x:v>F1/F2 target; M3 cash split and sector allocation; no additional mining dividend.</x:v>
      </x:c>
      <x:c r="L7" s="214" t="n">
        <x:f>SUMIF('Goods detail'!$A$5:$A$67,A7,'Goods detail'!$I$5:$I$67)</x:f>
        <x:v>500000</x:v>
      </x:c>
      <x:c r="M7" s="214" t="n">
        <x:f>SUM(H7:I7)+L7</x:f>
        <x:v>1000000</x:v>
      </x:c>
      <x:c r="N7" s="214" t="n">
        <x:f>SUMIF('Goods detail'!$A$5:$A$67,A7,'Goods detail'!$Q$5:$Q$67)</x:f>
        <x:v>0</x:v>
      </x:c>
      <x:c r="O7" s="214" t="n">
        <x:f>Inputs!S7</x:f>
        <x:v>1000000</x:v>
      </x:c>
    </x:row>
    <x:row r="8" ht="28" customHeight="1">
      <x:c r="A8" s="128" t="str">
        <x:v>Westerlands</x:v>
      </x:c>
      <x:c r="B8" s="156" t="n">
        <x:f>Inputs!$S8*Inputs!$T8*'Cash mix'!B8</x:f>
        <x:v>299250</x:v>
      </x:c>
      <x:c r="C8" s="156" t="n">
        <x:f>Inputs!$S8*Inputs!$T8*'Cash mix'!C8</x:f>
        <x:v>470250.00000000006</x:v>
      </x:c>
      <x:c r="D8" s="156" t="n">
        <x:f>Inputs!$S8*Inputs!$T8*'Cash mix'!D8</x:f>
        <x:v>342000</x:v>
      </x:c>
      <x:c r="E8" s="156" t="n">
        <x:f>Inputs!$S8*Inputs!$T8*'Cash mix'!E8</x:f>
        <x:v>2094750.0000000002</x:v>
      </x:c>
      <x:c r="F8" s="156" t="n">
        <x:f>Inputs!$S8*Inputs!$T8*'Cash mix'!F8</x:f>
        <x:v>128250</x:v>
      </x:c>
      <x:c r="G8" s="156" t="n">
        <x:f>Inputs!$S8*Inputs!$T8*'Cash mix'!G8</x:f>
        <x:v>85500</x:v>
      </x:c>
      <x:c r="H8" s="141" t="n">
        <x:f>SUMPRODUCT(B8:G8,$B$2:$G$2)*Inputs!P8</x:f>
        <x:v>3420000</x:v>
      </x:c>
      <x:c r="I8" s="141" t="n">
        <x:f>0</x:f>
        <x:v>0</x:v>
      </x:c>
      <x:c r="J8" s="141" t="n">
        <x:f>SUM(H8:I8)+N8</x:f>
        <x:v>3420000</x:v>
      </x:c>
      <x:c r="K8" s="147" t="str">
        <x:v>F1/F2 target; M3 cash split and sector allocation; no additional mining dividend.</x:v>
      </x:c>
      <x:c r="L8" s="214" t="n">
        <x:f>SUMIF('Goods detail'!$A$5:$A$67,A8,'Goods detail'!$I$5:$I$67)</x:f>
        <x:v>379999.99999999994</x:v>
      </x:c>
      <x:c r="M8" s="214" t="n">
        <x:f>SUM(H8:I8)+L8</x:f>
        <x:v>3800000</x:v>
      </x:c>
      <x:c r="N8" s="214" t="n">
        <x:f>SUMIF('Goods detail'!$A$5:$A$67,A8,'Goods detail'!$Q$5:$Q$67)</x:f>
        <x:v>0</x:v>
      </x:c>
      <x:c r="O8" s="214" t="n">
        <x:f>Inputs!S8</x:f>
        <x:v>3800000</x:v>
      </x:c>
    </x:row>
    <x:row r="9" ht="28" customHeight="1">
      <x:c r="A9" s="128" t="str">
        <x:v>Reach</x:v>
      </x:c>
      <x:c r="B9" s="156" t="n">
        <x:f>Inputs!$S9*Inputs!$T9*'Cash mix'!B9</x:f>
        <x:v>682500</x:v>
      </x:c>
      <x:c r="C9" s="156" t="n">
        <x:f>Inputs!$S9*Inputs!$T9*'Cash mix'!C9</x:f>
        <x:v>975000</x:v>
      </x:c>
      <x:c r="D9" s="156" t="n">
        <x:f>Inputs!$S9*Inputs!$T9*'Cash mix'!D9</x:f>
        <x:v>585000</x:v>
      </x:c>
      <x:c r="E9" s="156" t="n">
        <x:f>Inputs!$S9*Inputs!$T9*'Cash mix'!E9</x:f>
        <x:v>97500</x:v>
      </x:c>
      <x:c r="F9" s="156" t="n">
        <x:f>Inputs!$S9*Inputs!$T9*'Cash mix'!F9</x:f>
        <x:v>243750</x:v>
      </x:c>
      <x:c r="G9" s="156" t="n">
        <x:f>Inputs!$S9*Inputs!$T9*'Cash mix'!G9</x:f>
        <x:v>146250</x:v>
      </x:c>
      <x:c r="H9" s="141" t="n">
        <x:f>SUMPRODUCT(B9:G9,$B$2:$G$2)*Inputs!P9</x:f>
        <x:v>2730000</x:v>
      </x:c>
      <x:c r="I9" s="141" t="n">
        <x:f>0</x:f>
        <x:v>0</x:v>
      </x:c>
      <x:c r="J9" s="141" t="n">
        <x:f>SUM(H9:I9)+N9</x:f>
        <x:v>2730000</x:v>
      </x:c>
      <x:c r="K9" s="147" t="str">
        <x:v>F1/F2 target; M3 cash split and sector allocation; no additional mining dividend.</x:v>
      </x:c>
      <x:c r="L9" s="214" t="n">
        <x:f>SUMIF('Goods detail'!$A$5:$A$67,A9,'Goods detail'!$I$5:$I$67)</x:f>
        <x:v>5070000</x:v>
      </x:c>
      <x:c r="M9" s="214" t="n">
        <x:f>SUM(H9:I9)+L9</x:f>
        <x:v>7800000</x:v>
      </x:c>
      <x:c r="N9" s="214" t="n">
        <x:f>SUMIF('Goods detail'!$A$5:$A$67,A9,'Goods detail'!$Q$5:$Q$67)</x:f>
        <x:v>0</x:v>
      </x:c>
      <x:c r="O9" s="214" t="n">
        <x:f>Inputs!S9</x:f>
        <x:v>7800000</x:v>
      </x:c>
    </x:row>
    <x:row r="10" ht="28" customHeight="1">
      <x:c r="A10" s="128" t="str">
        <x:v>Stormlands</x:v>
      </x:c>
      <x:c r="B10" s="156" t="n">
        <x:f>Inputs!$S10*Inputs!$T10*'Cash mix'!B10</x:f>
        <x:v>67500</x:v>
      </x:c>
      <x:c r="C10" s="156" t="n">
        <x:f>Inputs!$S10*Inputs!$T10*'Cash mix'!C10</x:f>
        <x:v>112500</x:v>
      </x:c>
      <x:c r="D10" s="156" t="n">
        <x:f>Inputs!$S10*Inputs!$T10*'Cash mix'!D10</x:f>
        <x:v>37500</x:v>
      </x:c>
      <x:c r="E10" s="156" t="n">
        <x:f>Inputs!$S10*Inputs!$T10*'Cash mix'!E10</x:f>
        <x:v>75000</x:v>
      </x:c>
      <x:c r="F10" s="156" t="n">
        <x:f>Inputs!$S10*Inputs!$T10*'Cash mix'!F10</x:f>
        <x:v>22500</x:v>
      </x:c>
      <x:c r="G10" s="156" t="n">
        <x:f>Inputs!$S10*Inputs!$T10*'Cash mix'!G10</x:f>
        <x:v>22500</x:v>
      </x:c>
      <x:c r="H10" s="141" t="n">
        <x:f>SUMPRODUCT(B10:G10,$B$2:$G$2)*Inputs!P10</x:f>
        <x:v>337500</x:v>
      </x:c>
      <x:c r="I10" s="141" t="n">
        <x:f>0</x:f>
        <x:v>0</x:v>
      </x:c>
      <x:c r="J10" s="141" t="n">
        <x:f>SUM(H10:I10)+N10</x:f>
        <x:v>337500</x:v>
      </x:c>
      <x:c r="K10" s="147" t="str">
        <x:v>F1/F2 target; M3 cash split and sector allocation; no additional mining dividend.</x:v>
      </x:c>
      <x:c r="L10" s="214" t="n">
        <x:f>SUMIF('Goods detail'!$A$5:$A$67,A10,'Goods detail'!$I$5:$I$67)</x:f>
        <x:v>412500</x:v>
      </x:c>
      <x:c r="M10" s="214" t="n">
        <x:f>SUM(H10:I10)+L10</x:f>
        <x:v>750000</x:v>
      </x:c>
      <x:c r="N10" s="214" t="n">
        <x:f>SUMIF('Goods detail'!$A$5:$A$67,A10,'Goods detail'!$Q$5:$Q$67)</x:f>
        <x:v>0</x:v>
      </x:c>
      <x:c r="O10" s="214" t="n">
        <x:f>Inputs!S10</x:f>
        <x:v>750000</x:v>
      </x:c>
    </x:row>
    <x:row r="11" ht="28" customHeight="1">
      <x:c r="A11" s="128" t="str">
        <x:v>Dorne</x:v>
      </x:c>
      <x:c r="B11" s="156" t="n">
        <x:f>Inputs!$S11*Inputs!$T11*'Cash mix'!B11</x:f>
        <x:v>139285.7142857143</x:v>
      </x:c>
      <x:c r="C11" s="156" t="n">
        <x:f>Inputs!$S11*Inputs!$T11*'Cash mix'!C11</x:f>
        <x:v>204285.7142857143</x:v>
      </x:c>
      <x:c r="D11" s="156" t="n">
        <x:f>Inputs!$S11*Inputs!$T11*'Cash mix'!D11</x:f>
        <x:v>167142.85714285713</x:v>
      </x:c>
      <x:c r="E11" s="156" t="n">
        <x:f>Inputs!$S11*Inputs!$T11*'Cash mix'!E11</x:f>
        <x:v>74285.71428571429</x:v>
      </x:c>
      <x:c r="F11" s="156" t="n">
        <x:f>Inputs!$S11*Inputs!$T11*'Cash mix'!F11</x:f>
        <x:v>37142.857142857145</x:v>
      </x:c>
      <x:c r="G11" s="156" t="n">
        <x:f>Inputs!$S11*Inputs!$T11*'Cash mix'!G11</x:f>
        <x:v>27857.14285714286</x:v>
      </x:c>
      <x:c r="H11" s="141" t="n">
        <x:f>SUMPRODUCT(B11:G11,$B$2:$G$2)*Inputs!P11</x:f>
        <x:v>650000</x:v>
      </x:c>
      <x:c r="I11" s="141" t="n">
        <x:f>0</x:f>
        <x:v>0</x:v>
      </x:c>
      <x:c r="J11" s="141" t="n">
        <x:f>SUM(H11:I11)+N11</x:f>
        <x:v>650000</x:v>
      </x:c>
      <x:c r="K11" s="147" t="str">
        <x:v>F1/F2 target; M3 cash split and sector allocation; no additional mining dividend.</x:v>
      </x:c>
      <x:c r="L11" s="214" t="n">
        <x:f>SUMIF('Goods detail'!$A$5:$A$67,A11,'Goods detail'!$I$5:$I$67)</x:f>
        <x:v>350000</x:v>
      </x:c>
      <x:c r="M11" s="214" t="n">
        <x:f>SUM(H11:I11)+L11</x:f>
        <x:v>1000000</x:v>
      </x:c>
      <x:c r="N11" s="214" t="n">
        <x:f>SUMIF('Goods detail'!$A$5:$A$67,A11,'Goods detail'!$Q$5:$Q$67)</x:f>
        <x:v>0</x:v>
      </x:c>
      <x:c r="O11" s="214" t="n">
        <x:f>Inputs!S11</x:f>
        <x:v>1000000</x:v>
      </x:c>
    </x:row>
    <x:row r="12" ht="28" customHeight="1">
      <x:c r="A12" s="128" t="str">
        <x:v>Iron Islands</x:v>
      </x:c>
      <x:c r="B12" s="156" t="n">
        <x:f>Inputs!$S12*Inputs!$T12*'Cash mix'!B12</x:f>
        <x:v>27000</x:v>
      </x:c>
      <x:c r="C12" s="156" t="n">
        <x:f>Inputs!$S12*Inputs!$T12*'Cash mix'!C12</x:f>
        <x:v>54000</x:v>
      </x:c>
      <x:c r="D12" s="156" t="n">
        <x:f>Inputs!$S12*Inputs!$T12*'Cash mix'!D12</x:f>
        <x:v>40500</x:v>
      </x:c>
      <x:c r="E12" s="156" t="n">
        <x:f>Inputs!$S12*Inputs!$T12*'Cash mix'!E12</x:f>
        <x:v>108000</x:v>
      </x:c>
      <x:c r="F12" s="156" t="n">
        <x:f>Inputs!$S12*Inputs!$T12*'Cash mix'!F12</x:f>
        <x:v>27000</x:v>
      </x:c>
      <x:c r="G12" s="156" t="n">
        <x:f>Inputs!$S12*Inputs!$T12*'Cash mix'!G12</x:f>
        <x:v>13500</x:v>
      </x:c>
      <x:c r="H12" s="141" t="n">
        <x:f>SUMPRODUCT(B12:G12,$B$2:$G$2)*Inputs!P12</x:f>
        <x:v>270000</x:v>
      </x:c>
      <x:c r="I12" s="141" t="n">
        <x:f>0</x:f>
        <x:v>0</x:v>
      </x:c>
      <x:c r="J12" s="141" t="n">
        <x:f>SUM(H12:I12)+N12</x:f>
        <x:v>270000</x:v>
      </x:c>
      <x:c r="K12" s="147" t="str">
        <x:v>F1/F2 target; M3 cash split and sector allocation; no additional mining dividend.</x:v>
      </x:c>
      <x:c r="L12" s="214" t="n">
        <x:f>SUMIF('Goods detail'!$A$5:$A$67,A12,'Goods detail'!$I$5:$I$67)</x:f>
        <x:v>180000</x:v>
      </x:c>
      <x:c r="M12" s="214" t="n">
        <x:f>SUM(H12:I12)+L12</x:f>
        <x:v>450000</x:v>
      </x:c>
      <x:c r="N12" s="214" t="n">
        <x:f>SUMIF('Goods detail'!$A$5:$A$67,A12,'Goods detail'!$Q$5:$Q$67)</x:f>
        <x:v>0</x:v>
      </x:c>
      <x:c r="O12" s="214" t="n">
        <x:f>Inputs!S12</x:f>
        <x:v>450000</x:v>
      </x:c>
    </x:row>
    <x:row r="13" ht="28" customHeight="1">
      <x:c r="A13" s="128" t="str">
        <x:v>Crownlands / Crown</x:v>
      </x:c>
      <x:c r="B13" s="156" t="n">
        <x:f>Inputs!$S13*Inputs!$T13*'Cash mix'!B13</x:f>
        <x:v>276136.36363636365</x:v>
      </x:c>
      <x:c r="C13" s="156" t="n">
        <x:f>Inputs!$S13*Inputs!$T13*'Cash mix'!C13</x:f>
        <x:v>122727.27272727274</x:v>
      </x:c>
      <x:c r="D13" s="156" t="n">
        <x:f>Inputs!$S13*Inputs!$T13*'Cash mix'!D13</x:f>
        <x:v>613636.3636363636</x:v>
      </x:c>
      <x:c r="E13" s="156" t="n">
        <x:f>Inputs!$S13*Inputs!$T13*'Cash mix'!E13</x:f>
        <x:v>61363.63636363637</x:v>
      </x:c>
      <x:c r="F13" s="156" t="n">
        <x:f>Inputs!$S13*Inputs!$T13*'Cash mix'!F13</x:f>
        <x:v>184090.9090909091</x:v>
      </x:c>
      <x:c r="G13" s="156" t="n">
        <x:f>Inputs!$S13*Inputs!$T13*'Cash mix'!G13</x:f>
        <x:v>92045.45454545454</x:v>
      </x:c>
      <x:c r="H13" s="141" t="n">
        <x:f>SUMPRODUCT(B13:G13,$B$2:$G$2)*Inputs!P13</x:f>
        <x:v>1350000.0000000002</x:v>
      </x:c>
      <x:c r="I13" s="141" t="n">
        <x:f>SUM(Transfers!G5:G12)</x:f>
        <x:v>830000</x:v>
      </x:c>
      <x:c r="J13" s="141" t="n">
        <x:f>SUM(H13:I13)+N13</x:f>
        <x:v>2180000</x:v>
      </x:c>
      <x:c r="K13" s="147" t="str">
        <x:v>F1/F2 target; M3 cash split and sector allocation; no additional mining dividend.</x:v>
      </x:c>
      <x:c r="L13" s="214" t="n">
        <x:f>SUMIF('Goods detail'!$A$5:$A$67,A13,'Goods detail'!$I$5:$I$67)</x:f>
        <x:v>149999.99999999997</x:v>
      </x:c>
      <x:c r="M13" s="214" t="n">
        <x:f>SUM(H13:I13)+L13</x:f>
        <x:v>2330000</x:v>
      </x:c>
      <x:c r="N13" s="214" t="n">
        <x:f>SUMIF('Goods detail'!$A$5:$A$67,A13,'Goods detail'!$Q$5:$Q$67)</x:f>
        <x:v>0</x:v>
      </x:c>
      <x:c r="O13" s="214" t="n">
        <x:f>Inputs!S13</x:f>
        <x:v>1500000</x:v>
      </x:c>
    </x:row>
    <x:row r="14" ht="28" customHeight="1">
      <x:c r="A14" s="168" t="str">
        <x:v>ACCOUNT SUM (not consolidated)</x:v>
      </x:c>
      <x:c r="B14" s="169" t="n">
        <x:f>SUM(B5:B13)</x:f>
        <x:v>1972762.987012987</x:v>
      </x:c>
      <x:c r="C14" s="169" t="n">
        <x:f>SUM(C5:C13)</x:f>
        <x:v>2586156.9264069265</x:v>
      </x:c>
      <x:c r="D14" s="169" t="n">
        <x:f>SUM(D5:D13)</x:f>
        <x:v>2236688.3116883114</x:v>
      </x:c>
      <x:c r="E14" s="169" t="n">
        <x:f>SUM(E5:E13)</x:f>
        <x:v>2656959.9567099568</x:v>
      </x:c>
      <x:c r="F14" s="169" t="n">
        <x:f>SUM(F5:F13)</x:f>
        <x:v>788673.1601731603</x:v>
      </x:c>
      <x:c r="G14" s="169" t="n">
        <x:f>SUM(G5:G13)</x:f>
        <x:v>496258.658008658</x:v>
      </x:c>
      <x:c r="H14" s="169" t="n">
        <x:f>SUM(H5:H13)</x:f>
        <x:v>10737500</x:v>
      </x:c>
      <x:c r="I14" s="169" t="n">
        <x:f>SUM(I5:I13)</x:f>
        <x:v>830000</x:v>
      </x:c>
      <x:c r="J14" s="169" t="n">
        <x:f>SUM(J5:J13)</x:f>
        <x:v>11567500</x:v>
      </x:c>
      <x:c r="K14" s="169"/>
      <x:c r="L14" s="214" t="n">
        <x:f>SUM(L5:L13)</x:f>
        <x:v>8262500</x:v>
      </x:c>
      <x:c r="M14" s="214" t="n">
        <x:f>SUM(M5:M13)</x:f>
        <x:v>19830000</x:v>
      </x:c>
      <x:c r="N14" s="214" t="n">
        <x:f>SUM(N5:N13)</x:f>
        <x:v>0</x:v>
      </x:c>
      <x:c r="O14" s="214" t="n">
        <x:f>SUM(O5:O13)</x:f>
        <x:v>19000000</x:v>
      </x:c>
    </x:row>
    <x:row r="15" ht="28" customHeight="1">
      <x:c r="A15" s="128"/>
      <x:c r="B15" s="128"/>
      <x:c r="C15" s="128"/>
      <x:c r="D15" s="128"/>
      <x:c r="E15" s="128"/>
      <x:c r="F15" s="128"/>
      <x:c r="G15" s="128"/>
      <x:c r="H15" s="128"/>
      <x:c r="I15" s="128"/>
      <x:c r="J15" s="128"/>
      <x:c r="K15" s="128"/>
      <x:c r="L15" s="125"/>
      <x:c r="M15" s="125"/>
      <x:c r="N15" s="125"/>
      <x:c r="O15" s="125"/>
    </x:row>
    <x:row r="16" ht="28" customHeight="1">
      <x:c r="A16" s="131" t="str">
        <x:v>B:G are direct CASH income allocations. L is tax goods at current prices. M is income value; N converts goods to cash, not new income.</x:v>
      </x:c>
      <x:c r="B16" s="131"/>
      <x:c r="C16" s="131"/>
      <x:c r="D16" s="131"/>
      <x:c r="E16" s="131"/>
      <x:c r="F16" s="131"/>
      <x:c r="G16" s="131"/>
      <x:c r="H16" s="131"/>
      <x:c r="I16" s="131"/>
      <x:c r="J16" s="131"/>
      <x:c r="K16" s="131"/>
      <x:c r="L16" s="125"/>
      <x:c r="M16" s="125"/>
      <x:c r="N16" s="125"/>
      <x:c r="O16" s="125"/>
    </x:row>
    <x:row r="17" ht="35" customHeight="1">
      <x:c r="A17" s="131" t="str">
        <x:v>Goods tax quantities are fixed at baseline prices; use Prices I to change market prices without changing tax quantities. No automatic sale of grain.</x:v>
      </x:c>
      <x:c r="B17" s="131"/>
      <x:c r="C17" s="131"/>
      <x:c r="D17" s="131"/>
      <x:c r="E17" s="131"/>
      <x:c r="F17" s="131"/>
      <x:c r="G17" s="131"/>
      <x:c r="H17" s="131"/>
      <x:c r="I17" s="131"/>
      <x:c r="J17" s="131"/>
      <x:c r="K17" s="131"/>
      <x:c r="L17" s="125"/>
      <x:c r="M17" s="125"/>
      <x:c r="N17" s="125"/>
      <x:c r="O17" s="125"/>
    </x:row>
    <x:row r="18" ht="22" customHeight="1">
      <x:c r="A18" s="128"/>
      <x:c r="B18" s="128"/>
      <x:c r="C18" s="128"/>
      <x:c r="D18" s="128"/>
      <x:c r="E18" s="128"/>
      <x:c r="F18" s="128"/>
      <x:c r="G18" s="128"/>
      <x:c r="H18" s="128"/>
      <x:c r="I18" s="128"/>
      <x:c r="J18" s="128"/>
      <x:c r="K18" s="128"/>
      <x:c r="L18" s="125"/>
      <x:c r="M18" s="125"/>
      <x:c r="N18" s="125"/>
      <x:c r="O18" s="125"/>
    </x:row>
    <x:row r="19">
      <x:c r="A19" s="125"/>
      <x:c r="B19" s="125"/>
      <x:c r="C19" s="125"/>
      <x:c r="D19" s="125"/>
      <x:c r="E19" s="125"/>
      <x:c r="F19" s="125"/>
      <x:c r="G19" s="125"/>
      <x:c r="H19" s="125"/>
      <x:c r="I19" s="125"/>
      <x:c r="J19" s="125"/>
      <x:c r="K19" s="125"/>
      <x:c r="L19" s="125"/>
      <x:c r="M19" s="125"/>
      <x:c r="N19" s="125"/>
      <x:c r="O19" s="125"/>
    </x:row>
    <x:row r="20">
      <x:c r="A20" s="125"/>
      <x:c r="B20" s="125"/>
      <x:c r="C20" s="125"/>
      <x:c r="D20" s="125"/>
      <x:c r="E20" s="125"/>
      <x:c r="F20" s="125"/>
      <x:c r="G20" s="125"/>
      <x:c r="H20" s="125"/>
      <x:c r="I20" s="125"/>
      <x:c r="J20" s="125"/>
      <x:c r="K20" s="125"/>
      <x:c r="L20" s="125"/>
      <x:c r="M20" s="125"/>
      <x:c r="N20" s="125"/>
      <x:c r="O20" s="125"/>
    </x:row>
  </x:sheetData>
  <x:mergeCells>
    <x:mergeCell ref="A1:K1"/>
    <x:mergeCell ref="A16:K16"/>
    <x:mergeCell ref="A17:K17"/>
  </x:mergeCells>
  <x:pageMargins left="0.7" right="0.7" top="0.75" bottom="0.75" header="0.3" footer="0.3"/>
  <x:legacyDrawing xmlns:r="http://schemas.openxmlformats.org/officeDocument/2006/relationships" r:id="R55a25f3dde5e49c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</x:cols>
  <x:sheetData>
    <x:row r="1" ht="32" customHeight="1">
      <x:c r="A1" s="124" t="str">
        <x:v>Negotiated annual Crown payments | G</x:v>
      </x:c>
      <x:c r="B1" s="124"/>
      <x:c r="C1" s="124"/>
      <x:c r="D1" s="124"/>
      <x:c r="E1" s="124"/>
      <x:c r="F1" s="124"/>
      <x:c r="G1" s="124"/>
      <x:c r="H1" s="124"/>
      <x:c r="I1" s="124"/>
      <x:c r="J1" s="125"/>
    </x:row>
    <x:row r="2">
      <x:c r="A2" s="125"/>
      <x:c r="B2" s="125"/>
      <x:c r="C2" s="125"/>
      <x:c r="D2" s="125"/>
      <x:c r="E2" s="125"/>
      <x:c r="F2" s="125"/>
      <x:c r="G2" s="125"/>
      <x:c r="H2" s="125"/>
      <x:c r="I2" s="125"/>
      <x:c r="J2" s="125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</x:row>
    <x:row r="4" ht="38" customHeight="1">
      <x:c r="A4" s="140" t="str">
        <x:v>Region</x:v>
      </x:c>
      <x:c r="B4" s="140" t="str">
        <x:v>Chartered customs share</x:v>
      </x:c>
      <x:c r="C4" s="140" t="str">
        <x:v>Ordinary cash assessment</x:v>
      </x:c>
      <x:c r="D4" s="140" t="str">
        <x:v>Routine feudal dues</x:v>
      </x:c>
      <x:c r="E4" s="140" t="str">
        <x:v>Amount due</x:v>
      </x:c>
      <x:c r="F4" s="140" t="str">
        <x:v>Payment fraction</x:v>
      </x:c>
      <x:c r="G4" s="140" t="str">
        <x:v>Cash paid to Crown</x:v>
      </x:c>
      <x:c r="H4" s="140" t="str">
        <x:v>Unpaid Crown arrears</x:v>
      </x:c>
      <x:c r="I4" s="140" t="str">
        <x:v>Evidence</x:v>
      </x:c>
      <x:c r="J4" s="125"/>
    </x:row>
    <x:row r="5" ht="28" customHeight="1">
      <x:c r="A5" s="128" t="str">
        <x:v>North</x:v>
      </x:c>
      <x:c r="B5" s="156" t="n">
        <x:v>15000</x:v>
      </x:c>
      <x:c r="C5" s="156" t="n">
        <x:v>17500</x:v>
      </x:c>
      <x:c r="D5" s="156" t="n">
        <x:v>2500</x:v>
      </x:c>
      <x:c r="E5" s="144" t="n">
        <x:f>SUM(B5:D5)</x:f>
        <x:v>35000</x:v>
      </x:c>
      <x:c r="F5" s="171" t="n">
        <x:v>1</x:v>
      </x:c>
      <x:c r="G5" s="144" t="n">
        <x:f>E5*F5</x:f>
        <x:v>35000</x:v>
      </x:c>
      <x:c r="H5" s="144" t="n">
        <x:f>E5-G5</x:f>
        <x:v>0</x:v>
      </x:c>
      <x:c r="I5" s="167" t="str">
        <x:v>M3: negotiated scenario obligation; not a universal tax rate.</x:v>
      </x:c>
      <x:c r="J5" s="125"/>
    </x:row>
    <x:row r="6" ht="28" customHeight="1">
      <x:c r="A6" s="128" t="str">
        <x:v>Vale</x:v>
      </x:c>
      <x:c r="B6" s="156" t="n">
        <x:v>50000</x:v>
      </x:c>
      <x:c r="C6" s="156" t="n">
        <x:v>41700</x:v>
      </x:c>
      <x:c r="D6" s="156" t="n">
        <x:v>8300</x:v>
      </x:c>
      <x:c r="E6" s="144" t="n">
        <x:f>SUM(B6:D6)</x:f>
        <x:v>100000</x:v>
      </x:c>
      <x:c r="F6" s="171" t="n">
        <x:v>1</x:v>
      </x:c>
      <x:c r="G6" s="144" t="n">
        <x:f>E6*F6</x:f>
        <x:v>100000</x:v>
      </x:c>
      <x:c r="H6" s="144" t="n">
        <x:f>E6-G6</x:f>
        <x:v>0</x:v>
      </x:c>
      <x:c r="I6" s="167" t="str">
        <x:v>M3: negotiated scenario obligation; not a universal tax rate.</x:v>
      </x:c>
      <x:c r="J6" s="125"/>
    </x:row>
    <x:row r="7" ht="28" customHeight="1">
      <x:c r="A7" s="128" t="str">
        <x:v>Riverlands</x:v>
      </x:c>
      <x:c r="B7" s="156" t="n">
        <x:v>11100</x:v>
      </x:c>
      <x:c r="C7" s="156" t="n">
        <x:v>33300</x:v>
      </x:c>
      <x:c r="D7" s="156" t="n">
        <x:v>5600</x:v>
      </x:c>
      <x:c r="E7" s="144" t="n">
        <x:f>SUM(B7:D7)</x:f>
        <x:v>50000</x:v>
      </x:c>
      <x:c r="F7" s="171" t="n">
        <x:v>1</x:v>
      </x:c>
      <x:c r="G7" s="144" t="n">
        <x:f>E7*F7</x:f>
        <x:v>50000</x:v>
      </x:c>
      <x:c r="H7" s="144" t="n">
        <x:f>E7-G7</x:f>
        <x:v>0</x:v>
      </x:c>
      <x:c r="I7" s="167" t="str">
        <x:v>M3: negotiated scenario obligation; not a universal tax rate.</x:v>
      </x:c>
      <x:c r="J7" s="125"/>
    </x:row>
    <x:row r="8" ht="28" customHeight="1">
      <x:c r="A8" s="128" t="str">
        <x:v>Westerlands</x:v>
      </x:c>
      <x:c r="B8" s="156" t="n">
        <x:v>63800</x:v>
      </x:c>
      <x:c r="C8" s="156" t="n">
        <x:v>159600</x:v>
      </x:c>
      <x:c r="D8" s="156" t="n">
        <x:v>26600</x:v>
      </x:c>
      <x:c r="E8" s="144" t="n">
        <x:f>SUM(B8:D8)</x:f>
        <x:v>250000</x:v>
      </x:c>
      <x:c r="F8" s="171" t="n">
        <x:v>1</x:v>
      </x:c>
      <x:c r="G8" s="144" t="n">
        <x:f>E8*F8</x:f>
        <x:v>250000</x:v>
      </x:c>
      <x:c r="H8" s="144" t="n">
        <x:f>E8-G8</x:f>
        <x:v>0</x:v>
      </x:c>
      <x:c r="I8" s="167" t="str">
        <x:v>M3: negotiated scenario obligation; not a universal tax rate.</x:v>
      </x:c>
      <x:c r="J8" s="125"/>
    </x:row>
    <x:row r="9" ht="28" customHeight="1">
      <x:c r="A9" s="128" t="str">
        <x:v>Reach</x:v>
      </x:c>
      <x:c r="B9" s="156" t="n">
        <x:v>125600</x:v>
      </x:c>
      <x:c r="C9" s="156" t="n">
        <x:v>139500</x:v>
      </x:c>
      <x:c r="D9" s="156" t="n">
        <x:v>34900</x:v>
      </x:c>
      <x:c r="E9" s="144" t="n">
        <x:f>SUM(B9:D9)</x:f>
        <x:v>300000</x:v>
      </x:c>
      <x:c r="F9" s="171" t="n">
        <x:v>1</x:v>
      </x:c>
      <x:c r="G9" s="144" t="n">
        <x:f>E9*F9</x:f>
        <x:v>300000</x:v>
      </x:c>
      <x:c r="H9" s="144" t="n">
        <x:f>E9-G9</x:f>
        <x:v>0</x:v>
      </x:c>
      <x:c r="I9" s="167" t="str">
        <x:v>M3: negotiated scenario obligation; not a universal tax rate.</x:v>
      </x:c>
      <x:c r="J9" s="125"/>
    </x:row>
    <x:row r="10" ht="28" customHeight="1">
      <x:c r="A10" s="128" t="str">
        <x:v>Stormlands</x:v>
      </x:c>
      <x:c r="B10" s="156" t="n">
        <x:v>6700</x:v>
      </x:c>
      <x:c r="C10" s="156" t="n">
        <x:v>20000</x:v>
      </x:c>
      <x:c r="D10" s="156" t="n">
        <x:v>3300</x:v>
      </x:c>
      <x:c r="E10" s="144" t="n">
        <x:f>SUM(B10:D10)</x:f>
        <x:v>30000</x:v>
      </x:c>
      <x:c r="F10" s="171" t="n">
        <x:v>1</x:v>
      </x:c>
      <x:c r="G10" s="144" t="n">
        <x:f>E10*F10</x:f>
        <x:v>30000</x:v>
      </x:c>
      <x:c r="H10" s="144" t="n">
        <x:f>E10-G10</x:f>
        <x:v>0</x:v>
      </x:c>
      <x:c r="I10" s="167" t="str">
        <x:v>M3: negotiated scenario obligation; not a universal tax rate.</x:v>
      </x:c>
      <x:c r="J10" s="125"/>
    </x:row>
    <x:row r="11" ht="28" customHeight="1">
      <x:c r="A11" s="128" t="str">
        <x:v>Dorne</x:v>
      </x:c>
      <x:c r="B11" s="156" t="n">
        <x:v>18800</x:v>
      </x:c>
      <x:c r="C11" s="156" t="n">
        <x:v>22500</x:v>
      </x:c>
      <x:c r="D11" s="156" t="n">
        <x:v>3700</x:v>
      </x:c>
      <x:c r="E11" s="144" t="n">
        <x:f>SUM(B11:D11)</x:f>
        <x:v>45000</x:v>
      </x:c>
      <x:c r="F11" s="171" t="n">
        <x:v>1</x:v>
      </x:c>
      <x:c r="G11" s="144" t="n">
        <x:f>E11*F11</x:f>
        <x:v>45000</x:v>
      </x:c>
      <x:c r="H11" s="144" t="n">
        <x:f>E11-G11</x:f>
        <x:v>0</x:v>
      </x:c>
      <x:c r="I11" s="167" t="str">
        <x:v>M3: negotiated scenario obligation; not a universal tax rate.</x:v>
      </x:c>
      <x:c r="J11" s="125"/>
    </x:row>
    <x:row r="12" ht="28" customHeight="1">
      <x:c r="A12" s="128" t="str">
        <x:v>Iron Islands</x:v>
      </x:c>
      <x:c r="B12" s="156" t="n">
        <x:v>6700</x:v>
      </x:c>
      <x:c r="C12" s="156" t="n">
        <x:v>10700</x:v>
      </x:c>
      <x:c r="D12" s="156" t="n">
        <x:v>2600</x:v>
      </x:c>
      <x:c r="E12" s="144" t="n">
        <x:f>SUM(B12:D12)</x:f>
        <x:v>20000</x:v>
      </x:c>
      <x:c r="F12" s="171" t="n">
        <x:v>1</x:v>
      </x:c>
      <x:c r="G12" s="144" t="n">
        <x:f>E12*F12</x:f>
        <x:v>20000</x:v>
      </x:c>
      <x:c r="H12" s="144" t="n">
        <x:f>E12-G12</x:f>
        <x:v>0</x:v>
      </x:c>
      <x:c r="I12" s="167" t="str">
        <x:v>M3: negotiated scenario obligation; not a universal tax rate.</x:v>
      </x:c>
      <x:c r="J12" s="125"/>
    </x:row>
    <x:row r="13" ht="28" customHeight="1">
      <x:c r="A13" s="128" t="str">
        <x:v>TOTAL</x:v>
      </x:c>
      <x:c r="B13" s="144" t="n">
        <x:f>SUM(B5:B12)</x:f>
        <x:v>297700</x:v>
      </x:c>
      <x:c r="C13" s="144" t="n">
        <x:f>SUM(C5:C12)</x:f>
        <x:v>444800</x:v>
      </x:c>
      <x:c r="D13" s="144" t="n">
        <x:f>SUM(D5:D12)</x:f>
        <x:v>87500</x:v>
      </x:c>
      <x:c r="E13" s="144" t="n">
        <x:f>SUM(E5:E12)</x:f>
        <x:v>830000</x:v>
      </x:c>
      <x:c r="F13" s="144"/>
      <x:c r="G13" s="144" t="n">
        <x:f>SUM(G5:G12)</x:f>
        <x:v>830000</x:v>
      </x:c>
      <x:c r="H13" s="144" t="n">
        <x:f>SUM(H5:H12)</x:f>
        <x:v>0</x:v>
      </x:c>
      <x:c r="I13" s="128"/>
      <x:c r="J13" s="125"/>
    </x:row>
    <x:row r="14" ht="28" customHeight="1">
      <x:c r="A14" s="128"/>
      <x:c r="B14" s="128"/>
      <x:c r="C14" s="128"/>
      <x:c r="D14" s="128"/>
      <x:c r="E14" s="128"/>
      <x:c r="F14" s="128"/>
      <x:c r="G14" s="128"/>
      <x:c r="H14" s="128"/>
      <x:c r="I14" s="128"/>
      <x:c r="J14" s="125"/>
    </x:row>
    <x:row r="15" ht="35" customHeight="1">
      <x:c r="A15" s="131" t="str">
        <x:v>No universal percentage of regional product is claimed. Unpaid obligations become arrears, not free money; the Crown loses the same cash the region retains.</x:v>
      </x:c>
      <x:c r="B15" s="131"/>
      <x:c r="C15" s="131"/>
      <x:c r="D15" s="131"/>
      <x:c r="E15" s="131"/>
      <x:c r="F15" s="131"/>
      <x:c r="G15" s="131"/>
      <x:c r="H15" s="131"/>
      <x:c r="I15" s="131"/>
      <x:c r="J15" s="125"/>
    </x:row>
    <x:row r="16" ht="22" customHeight="1">
      <x:c r="A16" s="128"/>
      <x:c r="B16" s="128"/>
      <x:c r="C16" s="128"/>
      <x:c r="D16" s="128"/>
      <x:c r="E16" s="128"/>
      <x:c r="F16" s="128"/>
      <x:c r="G16" s="128"/>
      <x:c r="H16" s="128"/>
      <x:c r="I16" s="128"/>
      <x:c r="J16" s="125"/>
    </x:row>
    <x:row r="17" ht="22" customHeight="1">
      <x:c r="A17" s="128"/>
      <x:c r="B17" s="128"/>
      <x:c r="C17" s="128"/>
      <x:c r="D17" s="128"/>
      <x:c r="E17" s="128"/>
      <x:c r="F17" s="128"/>
      <x:c r="G17" s="128"/>
      <x:c r="H17" s="128"/>
      <x:c r="I17" s="128"/>
      <x:c r="J17" s="125"/>
    </x:row>
    <x:row r="18">
      <x:c r="A18" s="125"/>
      <x:c r="B18" s="125"/>
      <x:c r="C18" s="125"/>
      <x:c r="D18" s="125"/>
      <x:c r="E18" s="125"/>
      <x:c r="F18" s="125"/>
      <x:c r="G18" s="125"/>
      <x:c r="H18" s="125"/>
      <x:c r="I18" s="125"/>
      <x:c r="J18" s="125"/>
    </x:row>
  </x:sheetData>
  <x:mergeCells>
    <x:mergeCell ref="A1:I1"/>
    <x:mergeCell ref="A15:I15"/>
  </x:mergeCells>
  <x:pageMargins left="0.7" right="0.7" top="0.75" bottom="0.75" header="0.3" footer="0.3"/>
  <x:legacyDrawing xmlns:r="http://schemas.openxmlformats.org/officeDocument/2006/relationships" r:id="R9ae6bdccb3a24a91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42" hidden="0" customWidth="1"/>
  </x:cols>
  <x:sheetData>
    <x:row r="1" ht="32" customHeight="1">
      <x:c r="A1" s="124" t="str">
        <x:v>Annual public cash outlays | G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124"/>
      <x:c r="N1" s="124"/>
      <x:c r="O1" s="124"/>
      <x:c r="P1" s="124"/>
      <x:c r="Q1" s="125"/>
    </x:row>
    <x:row r="2">
      <x:c r="A2" s="125"/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  <x:c r="M2" s="125"/>
      <x:c r="N2" s="125"/>
      <x:c r="O2" s="125"/>
      <x:c r="P2" s="125"/>
      <x:c r="Q2" s="125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  <x:c r="M3" s="125"/>
      <x:c r="N3" s="125"/>
      <x:c r="O3" s="125"/>
      <x:c r="P3" s="125"/>
      <x:c r="Q3" s="125"/>
    </x:row>
    <x:row r="4" ht="62" customHeight="1">
      <x:c r="A4" s="140" t="str">
        <x:v>Region</x:v>
      </x:c>
      <x:c r="B4" s="140" t="str">
        <x:v>Court / household</x:v>
      </x:c>
      <x:c r="C4" s="140" t="str">
        <x:v>Civil administration</x:v>
      </x:c>
      <x:c r="D4" s="140" t="str">
        <x:v>Guards / garrisons</x:v>
      </x:c>
      <x:c r="E4" s="140" t="str">
        <x:v>Navy / coasts</x:v>
      </x:c>
      <x:c r="F4" s="140" t="str">
        <x:v>Public works upkeep</x:v>
      </x:c>
      <x:c r="G4" s="140" t="str">
        <x:v>Stores / rotation</x:v>
      </x:c>
      <x:c r="H4" s="140" t="str">
        <x:v>Patronage / diplomacy</x:v>
      </x:c>
      <x:c r="I4" s="140" t="str">
        <x:v>Cash interest</x:v>
      </x:c>
      <x:c r="J4" s="140" t="str">
        <x:v>Crown payment</x:v>
      </x:c>
      <x:c r="K4" s="140" t="str">
        <x:v>Ordinary outlays</x:v>
      </x:c>
      <x:c r="L4" s="140" t="str">
        <x:v>Extraordinary programmes</x:v>
      </x:c>
      <x:c r="M4" s="140" t="str">
        <x:v>Additional campaign / relief</x:v>
      </x:c>
      <x:c r="N4" s="140" t="str">
        <x:v>Principal repayment</x:v>
      </x:c>
      <x:c r="O4" s="140" t="str">
        <x:v>Total cash outflow</x:v>
      </x:c>
      <x:c r="P4" s="140" t="str">
        <x:v>Evidence</x:v>
      </x:c>
      <x:c r="Q4" s="213" t="str">
        <x:v>Goods purchases G</x:v>
      </x:c>
    </x:row>
    <x:row r="5" ht="28" customHeight="1">
      <x:c r="A5" s="128" t="str">
        <x:v>North</x:v>
      </x:c>
      <x:c r="B5" s="156" t="n">
        <x:v>45000</x:v>
      </x:c>
      <x:c r="C5" s="156" t="n">
        <x:v>25000</x:v>
      </x:c>
      <x:c r="D5" s="156" t="n">
        <x:v>55000</x:v>
      </x:c>
      <x:c r="E5" s="156" t="n">
        <x:v>5000</x:v>
      </x:c>
      <x:c r="F5" s="156" t="n">
        <x:v>25000</x:v>
      </x:c>
      <x:c r="G5" s="156" t="n">
        <x:v>12000</x:v>
      </x:c>
      <x:c r="H5" s="156" t="n">
        <x:v>10000</x:v>
      </x:c>
      <x:c r="I5" s="141" t="n">
        <x:f>Debt!E5</x:f>
        <x:v>8000</x:v>
      </x:c>
      <x:c r="J5" s="141" t="n">
        <x:f>Transfers!G5</x:f>
        <x:v>35000</x:v>
      </x:c>
      <x:c r="K5" s="141" t="n">
        <x:f>SUM(B5:H5)*Inputs!Q5+SUM(I5:J5)</x:f>
        <x:v>220000</x:v>
      </x:c>
      <x:c r="L5" s="141" t="n">
        <x:f>SUMIF(Projects!$A$5:$A$19,A5,Projects!$D$5:$D$19)</x:f>
        <x:v>40000</x:v>
      </x:c>
      <x:c r="M5" s="156" t="n">
        <x:v>0</x:v>
      </x:c>
      <x:c r="N5" s="141" t="n">
        <x:f>Debt!G5</x:f>
        <x:v>10000</x:v>
      </x:c>
      <x:c r="O5" s="141" t="n">
        <x:f>SUM(K5:N5)+Q5</x:f>
        <x:v>270000</x:v>
      </x:c>
      <x:c r="P5" s="167" t="str">
        <x:v>M3: revised cash budget. Goods used are recorded in Goods, not silently paid twice.</x:v>
      </x:c>
      <x:c r="Q5" s="125" t="n">
        <x:f>SUMIF('Goods detail'!$A$5:$A$67,A5,'Goods detail'!$S$5:$S$67)</x:f>
        <x:v>0</x:v>
      </x:c>
    </x:row>
    <x:row r="6" ht="28" customHeight="1">
      <x:c r="A6" s="128" t="str">
        <x:v>Vale</x:v>
      </x:c>
      <x:c r="B6" s="156" t="n">
        <x:v>150000</x:v>
      </x:c>
      <x:c r="C6" s="156" t="n">
        <x:v>75000</x:v>
      </x:c>
      <x:c r="D6" s="156" t="n">
        <x:v>250000</x:v>
      </x:c>
      <x:c r="E6" s="156" t="n">
        <x:v>50000</x:v>
      </x:c>
      <x:c r="F6" s="156" t="n">
        <x:v>100000</x:v>
      </x:c>
      <x:c r="G6" s="156" t="n">
        <x:v>30000</x:v>
      </x:c>
      <x:c r="H6" s="156" t="n">
        <x:v>75000</x:v>
      </x:c>
      <x:c r="I6" s="141" t="n">
        <x:f>Debt!E6</x:f>
        <x:v>16000</x:v>
      </x:c>
      <x:c r="J6" s="141" t="n">
        <x:f>Transfers!G6</x:f>
        <x:v>100000</x:v>
      </x:c>
      <x:c r="K6" s="141" t="n">
        <x:f>SUM(B6:H6)*Inputs!Q6+SUM(I6:J6)</x:f>
        <x:v>846000</x:v>
      </x:c>
      <x:c r="L6" s="141" t="n">
        <x:f>SUMIF(Projects!$A$5:$A$19,A6,Projects!$D$5:$D$19)</x:f>
        <x:v>150000</x:v>
      </x:c>
      <x:c r="M6" s="156" t="n">
        <x:v>0</x:v>
      </x:c>
      <x:c r="N6" s="141" t="n">
        <x:f>Debt!G6</x:f>
        <x:v>25000</x:v>
      </x:c>
      <x:c r="O6" s="141" t="n">
        <x:f>SUM(K6:N6)+Q6</x:f>
        <x:v>1021000</x:v>
      </x:c>
      <x:c r="P6" s="167" t="str">
        <x:v>M3: revised cash budget. Goods used are recorded in Goods, not silently paid twice.</x:v>
      </x:c>
      <x:c r="Q6" s="125" t="n">
        <x:f>SUMIF('Goods detail'!$A$5:$A$67,A6,'Goods detail'!$S$5:$S$67)</x:f>
        <x:v>0</x:v>
      </x:c>
    </x:row>
    <x:row r="7" ht="28" customHeight="1">
      <x:c r="A7" s="128" t="str">
        <x:v>Riverlands</x:v>
      </x:c>
      <x:c r="B7" s="156" t="n">
        <x:v>85000</x:v>
      </x:c>
      <x:c r="C7" s="156" t="n">
        <x:v>45000</x:v>
      </x:c>
      <x:c r="D7" s="156" t="n">
        <x:v>105000</x:v>
      </x:c>
      <x:c r="E7" s="156" t="n">
        <x:v>10000</x:v>
      </x:c>
      <x:c r="F7" s="156" t="n">
        <x:v>50000</x:v>
      </x:c>
      <x:c r="G7" s="156" t="n">
        <x:v>20000</x:v>
      </x:c>
      <x:c r="H7" s="156" t="n">
        <x:v>25000</x:v>
      </x:c>
      <x:c r="I7" s="141" t="n">
        <x:f>Debt!E7</x:f>
        <x:v>24000</x:v>
      </x:c>
      <x:c r="J7" s="141" t="n">
        <x:f>Transfers!G7</x:f>
        <x:v>50000</x:v>
      </x:c>
      <x:c r="K7" s="141" t="n">
        <x:f>SUM(B7:H7)*Inputs!Q7+SUM(I7:J7)</x:f>
        <x:v>414000</x:v>
      </x:c>
      <x:c r="L7" s="141" t="n">
        <x:f>SUMIF(Projects!$A$5:$A$19,A7,Projects!$D$5:$D$19)</x:f>
        <x:v>110000</x:v>
      </x:c>
      <x:c r="M7" s="156" t="n">
        <x:v>0</x:v>
      </x:c>
      <x:c r="N7" s="141" t="n">
        <x:f>Debt!G7</x:f>
        <x:v>25000</x:v>
      </x:c>
      <x:c r="O7" s="141" t="n">
        <x:f>SUM(K7:N7)+Q7</x:f>
        <x:v>549000</x:v>
      </x:c>
      <x:c r="P7" s="167" t="str">
        <x:v>M3: revised cash budget. Goods used are recorded in Goods, not silently paid twice.</x:v>
      </x:c>
      <x:c r="Q7" s="125" t="n">
        <x:f>SUMIF('Goods detail'!$A$5:$A$67,A7,'Goods detail'!$S$5:$S$67)</x:f>
        <x:v>0</x:v>
      </x:c>
    </x:row>
    <x:row r="8" ht="28" customHeight="1">
      <x:c r="A8" s="128" t="str">
        <x:v>Westerlands</x:v>
      </x:c>
      <x:c r="B8" s="156" t="n">
        <x:v>400000</x:v>
      </x:c>
      <x:c r="C8" s="156" t="n">
        <x:v>180000</x:v>
      </x:c>
      <x:c r="D8" s="156" t="n">
        <x:v>600000</x:v>
      </x:c>
      <x:c r="E8" s="156" t="n">
        <x:v>200000</x:v>
      </x:c>
      <x:c r="F8" s="156" t="n">
        <x:v>200000</x:v>
      </x:c>
      <x:c r="G8" s="156" t="n">
        <x:v>50000</x:v>
      </x:c>
      <x:c r="H8" s="156" t="n">
        <x:v>400000</x:v>
      </x:c>
      <x:c r="I8" s="141" t="n">
        <x:f>Debt!E8</x:f>
        <x:v>0</x:v>
      </x:c>
      <x:c r="J8" s="141" t="n">
        <x:f>Transfers!G8</x:f>
        <x:v>250000</x:v>
      </x:c>
      <x:c r="K8" s="141" t="n">
        <x:f>SUM(B8:H8)*Inputs!Q8+SUM(I8:J8)</x:f>
        <x:v>2280000</x:v>
      </x:c>
      <x:c r="L8" s="141" t="n">
        <x:f>SUMIF(Projects!$A$5:$A$19,A8,Projects!$D$5:$D$19)</x:f>
        <x:v>350000</x:v>
      </x:c>
      <x:c r="M8" s="156" t="n">
        <x:v>0</x:v>
      </x:c>
      <x:c r="N8" s="141" t="n">
        <x:f>Debt!G8</x:f>
        <x:v>0</x:v>
      </x:c>
      <x:c r="O8" s="141" t="n">
        <x:f>SUM(K8:N8)+Q8</x:f>
        <x:v>2630000</x:v>
      </x:c>
      <x:c r="P8" s="167" t="str">
        <x:v>M3: revised cash budget. Goods used are recorded in Goods, not silently paid twice.</x:v>
      </x:c>
      <x:c r="Q8" s="125" t="n">
        <x:f>SUMIF('Goods detail'!$A$5:$A$67,A8,'Goods detail'!$S$5:$S$67)</x:f>
        <x:v>0</x:v>
      </x:c>
    </x:row>
    <x:row r="9" ht="28" customHeight="1">
      <x:c r="A9" s="128" t="str">
        <x:v>Reach</x:v>
      </x:c>
      <x:c r="B9" s="156" t="n">
        <x:v>400000</x:v>
      </x:c>
      <x:c r="C9" s="156" t="n">
        <x:v>200000</x:v>
      </x:c>
      <x:c r="D9" s="156" t="n">
        <x:v>500000</x:v>
      </x:c>
      <x:c r="E9" s="156" t="n">
        <x:v>180000</x:v>
      </x:c>
      <x:c r="F9" s="156" t="n">
        <x:v>200000</x:v>
      </x:c>
      <x:c r="G9" s="156" t="n">
        <x:v>80000</x:v>
      </x:c>
      <x:c r="H9" s="156" t="n">
        <x:v>250000</x:v>
      </x:c>
      <x:c r="I9" s="141" t="n">
        <x:f>Debt!E9</x:f>
        <x:v>32000</x:v>
      </x:c>
      <x:c r="J9" s="141" t="n">
        <x:f>Transfers!G9</x:f>
        <x:v>300000</x:v>
      </x:c>
      <x:c r="K9" s="141" t="n">
        <x:f>SUM(B9:H9)*Inputs!Q9+SUM(I9:J9)</x:f>
        <x:v>2142000</x:v>
      </x:c>
      <x:c r="L9" s="141" t="n">
        <x:f>SUMIF(Projects!$A$5:$A$19,A9,Projects!$D$5:$D$19)</x:f>
        <x:v>400000</x:v>
      </x:c>
      <x:c r="M9" s="156" t="n">
        <x:v>0</x:v>
      </x:c>
      <x:c r="N9" s="141" t="n">
        <x:f>Debt!G9</x:f>
        <x:v>50000</x:v>
      </x:c>
      <x:c r="O9" s="141" t="n">
        <x:f>SUM(K9:N9)+Q9</x:f>
        <x:v>2592000</x:v>
      </x:c>
      <x:c r="P9" s="167" t="str">
        <x:v>M3: revised cash budget. Goods used are recorded in Goods, not silently paid twice.</x:v>
      </x:c>
      <x:c r="Q9" s="125" t="n">
        <x:f>SUMIF('Goods detail'!$A$5:$A$67,A9,'Goods detail'!$S$5:$S$67)</x:f>
        <x:v>0</x:v>
      </x:c>
    </x:row>
    <x:row r="10" ht="28" customHeight="1">
      <x:c r="A10" s="128" t="str">
        <x:v>Stormlands</x:v>
      </x:c>
      <x:c r="B10" s="156" t="n">
        <x:v>50000</x:v>
      </x:c>
      <x:c r="C10" s="156" t="n">
        <x:v>25000</x:v>
      </x:c>
      <x:c r="D10" s="156" t="n">
        <x:v>75000</x:v>
      </x:c>
      <x:c r="E10" s="156" t="n">
        <x:v>15000</x:v>
      </x:c>
      <x:c r="F10" s="156" t="n">
        <x:v>30000</x:v>
      </x:c>
      <x:c r="G10" s="156" t="n">
        <x:v>15000</x:v>
      </x:c>
      <x:c r="H10" s="156" t="n">
        <x:v>10000</x:v>
      </x:c>
      <x:c r="I10" s="141" t="n">
        <x:f>Debt!E10</x:f>
        <x:v>18000</x:v>
      </x:c>
      <x:c r="J10" s="141" t="n">
        <x:f>Transfers!G10</x:f>
        <x:v>30000</x:v>
      </x:c>
      <x:c r="K10" s="141" t="n">
        <x:f>SUM(B10:H10)*Inputs!Q10+SUM(I10:J10)</x:f>
        <x:v>268000</x:v>
      </x:c>
      <x:c r="L10" s="141" t="n">
        <x:f>SUMIF(Projects!$A$5:$A$19,A10,Projects!$D$5:$D$19)</x:f>
        <x:v>100000</x:v>
      </x:c>
      <x:c r="M10" s="156" t="n">
        <x:v>0</x:v>
      </x:c>
      <x:c r="N10" s="141" t="n">
        <x:f>Debt!G10</x:f>
        <x:v>15000</x:v>
      </x:c>
      <x:c r="O10" s="141" t="n">
        <x:f>SUM(K10:N10)+Q10</x:f>
        <x:v>383000</x:v>
      </x:c>
      <x:c r="P10" s="167" t="str">
        <x:v>M3: revised cash budget. Goods used are recorded in Goods, not silently paid twice.</x:v>
      </x:c>
      <x:c r="Q10" s="125" t="n">
        <x:f>SUMIF('Goods detail'!$A$5:$A$67,A10,'Goods detail'!$S$5:$S$67)</x:f>
        <x:v>0</x:v>
      </x:c>
    </x:row>
    <x:row r="11" ht="28" customHeight="1">
      <x:c r="A11" s="128" t="str">
        <x:v>Dorne</x:v>
      </x:c>
      <x:c r="B11" s="156" t="n">
        <x:v>100000</x:v>
      </x:c>
      <x:c r="C11" s="156" t="n">
        <x:v>50000</x:v>
      </x:c>
      <x:c r="D11" s="156" t="n">
        <x:v>150000</x:v>
      </x:c>
      <x:c r="E11" s="156" t="n">
        <x:v>25000</x:v>
      </x:c>
      <x:c r="F11" s="156" t="n">
        <x:v>75000</x:v>
      </x:c>
      <x:c r="G11" s="156" t="n">
        <x:v>20000</x:v>
      </x:c>
      <x:c r="H11" s="156" t="n">
        <x:v>60000</x:v>
      </x:c>
      <x:c r="I11" s="141" t="n">
        <x:f>Debt!E11</x:f>
        <x:v>16000</x:v>
      </x:c>
      <x:c r="J11" s="141" t="n">
        <x:f>Transfers!G11</x:f>
        <x:v>45000</x:v>
      </x:c>
      <x:c r="K11" s="141" t="n">
        <x:f>SUM(B11:H11)*Inputs!Q11+SUM(I11:J11)</x:f>
        <x:v>541000</x:v>
      </x:c>
      <x:c r="L11" s="141" t="n">
        <x:f>SUMIF(Projects!$A$5:$A$19,A11,Projects!$D$5:$D$19)</x:f>
        <x:v>60000</x:v>
      </x:c>
      <x:c r="M11" s="156" t="n">
        <x:v>0</x:v>
      </x:c>
      <x:c r="N11" s="141" t="n">
        <x:f>Debt!G11</x:f>
        <x:v>20000</x:v>
      </x:c>
      <x:c r="O11" s="141" t="n">
        <x:f>SUM(K11:N11)+Q11</x:f>
        <x:v>621000</x:v>
      </x:c>
      <x:c r="P11" s="167" t="str">
        <x:v>M3: revised cash budget. Goods used are recorded in Goods, not silently paid twice.</x:v>
      </x:c>
      <x:c r="Q11" s="125" t="n">
        <x:f>SUMIF('Goods detail'!$A$5:$A$67,A11,'Goods detail'!$S$5:$S$67)</x:f>
        <x:v>0</x:v>
      </x:c>
    </x:row>
    <x:row r="12" ht="28" customHeight="1">
      <x:c r="A12" s="128" t="str">
        <x:v>Iron Islands</x:v>
      </x:c>
      <x:c r="B12" s="156" t="n">
        <x:v>35000</x:v>
      </x:c>
      <x:c r="C12" s="156" t="n">
        <x:v>20000</x:v>
      </x:c>
      <x:c r="D12" s="156" t="n">
        <x:v>40000</x:v>
      </x:c>
      <x:c r="E12" s="156" t="n">
        <x:v>80000</x:v>
      </x:c>
      <x:c r="F12" s="156" t="n">
        <x:v>15000</x:v>
      </x:c>
      <x:c r="G12" s="156" t="n">
        <x:v>15000</x:v>
      </x:c>
      <x:c r="H12" s="156" t="n">
        <x:v>10000</x:v>
      </x:c>
      <x:c r="I12" s="141" t="n">
        <x:f>Debt!E12</x:f>
        <x:v>8000</x:v>
      </x:c>
      <x:c r="J12" s="141" t="n">
        <x:f>Transfers!G12</x:f>
        <x:v>20000</x:v>
      </x:c>
      <x:c r="K12" s="141" t="n">
        <x:f>SUM(B12:H12)*Inputs!Q12+SUM(I12:J12)</x:f>
        <x:v>243000</x:v>
      </x:c>
      <x:c r="L12" s="141" t="n">
        <x:f>SUMIF(Projects!$A$5:$A$19,A12,Projects!$D$5:$D$19)</x:f>
        <x:v>35000</x:v>
      </x:c>
      <x:c r="M12" s="156" t="n">
        <x:v>0</x:v>
      </x:c>
      <x:c r="N12" s="141" t="n">
        <x:f>Debt!G12</x:f>
        <x:v>10000</x:v>
      </x:c>
      <x:c r="O12" s="141" t="n">
        <x:f>SUM(K12:N12)+Q12</x:f>
        <x:v>288000</x:v>
      </x:c>
      <x:c r="P12" s="167" t="str">
        <x:v>M3: revised cash budget. Goods used are recorded in Goods, not silently paid twice.</x:v>
      </x:c>
      <x:c r="Q12" s="125" t="n">
        <x:f>SUMIF('Goods detail'!$A$5:$A$67,A12,'Goods detail'!$S$5:$S$67)</x:f>
        <x:v>0</x:v>
      </x:c>
    </x:row>
    <x:row r="13" ht="28" customHeight="1">
      <x:c r="A13" s="128" t="str">
        <x:v>Crownlands / Crown</x:v>
      </x:c>
      <x:c r="B13" s="156" t="n">
        <x:v>350000</x:v>
      </x:c>
      <x:c r="C13" s="156" t="n">
        <x:v>200000</x:v>
      </x:c>
      <x:c r="D13" s="156" t="n">
        <x:v>400000</x:v>
      </x:c>
      <x:c r="E13" s="156" t="n">
        <x:v>160000</x:v>
      </x:c>
      <x:c r="F13" s="156" t="n">
        <x:v>120000</x:v>
      </x:c>
      <x:c r="G13" s="156" t="n">
        <x:v>60000</x:v>
      </x:c>
      <x:c r="H13" s="156" t="n">
        <x:v>180000</x:v>
      </x:c>
      <x:c r="I13" s="141" t="n">
        <x:f>Debt!E13</x:f>
        <x:v>0</x:v>
      </x:c>
      <x:c r="J13" s="141" t="n">
        <x:f>0</x:f>
        <x:v>0</x:v>
      </x:c>
      <x:c r="K13" s="141" t="n">
        <x:f>SUM(B13:H13)*Inputs!Q13+SUM(I13:J13)</x:f>
        <x:v>1470000</x:v>
      </x:c>
      <x:c r="L13" s="141" t="n">
        <x:f>SUMIF(Projects!$A$5:$A$19,A13,Projects!$D$5:$D$19)</x:f>
        <x:v>650000</x:v>
      </x:c>
      <x:c r="M13" s="156" t="n">
        <x:v>0</x:v>
      </x:c>
      <x:c r="N13" s="141" t="n">
        <x:f>Debt!G13</x:f>
        <x:v>0</x:v>
      </x:c>
      <x:c r="O13" s="141" t="n">
        <x:f>SUM(K13:N13)+Q13</x:f>
        <x:v>2120000</x:v>
      </x:c>
      <x:c r="P13" s="167" t="str">
        <x:v>M3: revised cash budget. Goods used are recorded in Goods, not silently paid twice.</x:v>
      </x:c>
      <x:c r="Q13" s="125" t="n">
        <x:f>SUMIF('Goods detail'!$A$5:$A$67,A13,'Goods detail'!$S$5:$S$67)</x:f>
        <x:v>0</x:v>
      </x:c>
    </x:row>
    <x:row r="14" ht="28" customHeight="1">
      <x:c r="A14" s="168" t="str">
        <x:v>ACCOUNT SUM</x:v>
      </x:c>
      <x:c r="B14" s="169" t="n">
        <x:f>SUM(B5:B13)</x:f>
        <x:v>1615000</x:v>
      </x:c>
      <x:c r="C14" s="169" t="n">
        <x:f>SUM(C5:C13)</x:f>
        <x:v>820000</x:v>
      </x:c>
      <x:c r="D14" s="169" t="n">
        <x:f>SUM(D5:D13)</x:f>
        <x:v>2175000</x:v>
      </x:c>
      <x:c r="E14" s="169" t="n">
        <x:f>SUM(E5:E13)</x:f>
        <x:v>725000</x:v>
      </x:c>
      <x:c r="F14" s="169" t="n">
        <x:f>SUM(F5:F13)</x:f>
        <x:v>815000</x:v>
      </x:c>
      <x:c r="G14" s="169" t="n">
        <x:f>SUM(G5:G13)</x:f>
        <x:v>302000</x:v>
      </x:c>
      <x:c r="H14" s="169" t="n">
        <x:f>SUM(H5:H13)</x:f>
        <x:v>1020000</x:v>
      </x:c>
      <x:c r="I14" s="169" t="n">
        <x:f>SUM(I5:I13)</x:f>
        <x:v>122000</x:v>
      </x:c>
      <x:c r="J14" s="169" t="n">
        <x:f>SUM(J5:J13)</x:f>
        <x:v>830000</x:v>
      </x:c>
      <x:c r="K14" s="169" t="n">
        <x:f>SUM(K5:K13)</x:f>
        <x:v>8424000</x:v>
      </x:c>
      <x:c r="L14" s="169" t="n">
        <x:f>SUM(L5:L13)</x:f>
        <x:v>1895000</x:v>
      </x:c>
      <x:c r="M14" s="169" t="n">
        <x:f>SUM(M5:M13)</x:f>
        <x:v>0</x:v>
      </x:c>
      <x:c r="N14" s="169" t="n">
        <x:f>SUM(N5:N13)</x:f>
        <x:v>155000</x:v>
      </x:c>
      <x:c r="O14" s="169" t="n">
        <x:f>SUM(O5:O13)</x:f>
        <x:v>10474000</x:v>
      </x:c>
      <x:c r="P14" s="168"/>
      <x:c r="Q14" s="125" t="n">
        <x:f>SUM(Q5:Q13)</x:f>
        <x:v>0</x:v>
      </x:c>
    </x:row>
    <x:row r="15" ht="28" customHeight="1">
      <x:c r="A15" s="128"/>
      <x:c r="B15" s="128"/>
      <x:c r="C15" s="128"/>
      <x:c r="D15" s="128"/>
      <x:c r="E15" s="128"/>
      <x:c r="F15" s="128"/>
      <x:c r="G15" s="128"/>
      <x:c r="H15" s="128"/>
      <x:c r="I15" s="128"/>
      <x:c r="J15" s="128"/>
      <x:c r="K15" s="128"/>
      <x:c r="L15" s="128"/>
      <x:c r="M15" s="128"/>
      <x:c r="N15" s="128"/>
      <x:c r="O15" s="128"/>
      <x:c r="P15" s="128"/>
      <x:c r="Q15" s="125"/>
    </x:row>
    <x:row r="16" ht="28" customHeight="1">
      <x:c r="A16" s="131" t="str">
        <x:v>Cash-flow view: principal repayment is an outflow, not an operating expense. Moving money to a reserve fund is not spending; buying grain is.</x:v>
      </x:c>
      <x:c r="B16" s="131"/>
      <x:c r="C16" s="131"/>
      <x:c r="D16" s="131"/>
      <x:c r="E16" s="131"/>
      <x:c r="F16" s="131"/>
      <x:c r="G16" s="131"/>
      <x:c r="H16" s="131"/>
      <x:c r="I16" s="131"/>
      <x:c r="J16" s="131"/>
      <x:c r="K16" s="131"/>
      <x:c r="L16" s="131"/>
      <x:c r="M16" s="131"/>
      <x:c r="N16" s="131"/>
      <x:c r="O16" s="131"/>
      <x:c r="P16" s="131"/>
      <x:c r="Q16" s="125"/>
    </x:row>
    <x:row r="17" ht="35" customHeight="1">
      <x:c r="A17" s="131" t="str">
        <x:v>Additional campaign / relief starts at zero. Enter the central payer's share, not a whole regional host already funded by its vassals.</x:v>
      </x:c>
      <x:c r="B17" s="131"/>
      <x:c r="C17" s="131"/>
      <x:c r="D17" s="131"/>
      <x:c r="E17" s="131"/>
      <x:c r="F17" s="131"/>
      <x:c r="G17" s="131"/>
      <x:c r="H17" s="131"/>
      <x:c r="I17" s="131"/>
      <x:c r="J17" s="131"/>
      <x:c r="K17" s="131"/>
      <x:c r="L17" s="131"/>
      <x:c r="M17" s="131"/>
      <x:c r="N17" s="131"/>
      <x:c r="O17" s="131"/>
      <x:c r="P17" s="131"/>
      <x:c r="Q17" s="125"/>
    </x:row>
    <x:row r="18" ht="22" customHeight="1">
      <x:c r="A18" s="128"/>
      <x:c r="B18" s="128"/>
      <x:c r="C18" s="128"/>
      <x:c r="D18" s="128"/>
      <x:c r="E18" s="128"/>
      <x:c r="F18" s="128"/>
      <x:c r="G18" s="128"/>
      <x:c r="H18" s="128"/>
      <x:c r="I18" s="128"/>
      <x:c r="J18" s="128"/>
      <x:c r="K18" s="128"/>
      <x:c r="L18" s="128"/>
      <x:c r="M18" s="128"/>
      <x:c r="N18" s="128"/>
      <x:c r="O18" s="128"/>
      <x:c r="P18" s="128"/>
      <x:c r="Q18" s="125"/>
    </x:row>
    <x:row r="19">
      <x:c r="A19" s="125"/>
      <x:c r="B19" s="125"/>
      <x:c r="C19" s="125"/>
      <x:c r="D19" s="125"/>
      <x:c r="E19" s="125"/>
      <x:c r="F19" s="125"/>
      <x:c r="G19" s="125"/>
      <x:c r="H19" s="125"/>
      <x:c r="I19" s="125"/>
      <x:c r="J19" s="125"/>
      <x:c r="K19" s="125"/>
      <x:c r="L19" s="125"/>
      <x:c r="M19" s="125"/>
      <x:c r="N19" s="125"/>
      <x:c r="O19" s="125"/>
      <x:c r="P19" s="125"/>
      <x:c r="Q19" s="125"/>
    </x:row>
    <x:row r="20">
      <x:c r="A20" s="125"/>
      <x:c r="B20" s="125"/>
      <x:c r="C20" s="125"/>
      <x:c r="D20" s="125"/>
      <x:c r="E20" s="125"/>
      <x:c r="F20" s="125"/>
      <x:c r="G20" s="125"/>
      <x:c r="H20" s="125"/>
      <x:c r="I20" s="125"/>
      <x:c r="J20" s="125"/>
      <x:c r="K20" s="125"/>
      <x:c r="L20" s="125"/>
      <x:c r="M20" s="125"/>
      <x:c r="N20" s="125"/>
      <x:c r="O20" s="125"/>
      <x:c r="P20" s="125"/>
      <x:c r="Q20" s="125"/>
    </x:row>
  </x:sheetData>
  <x:mergeCells>
    <x:mergeCell ref="A1:P1"/>
    <x:mergeCell ref="A16:P16"/>
    <x:mergeCell ref="A17:P17"/>
  </x:mergeCells>
  <x:pageMargins left="0.7" right="0.7" top="0.75" bottom="0.75" header="0.3" footer="0.3"/>
  <x:legacyDrawing xmlns:r="http://schemas.openxmlformats.org/officeDocument/2006/relationships" r:id="R19ca7fd0eff64bbd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6" hidden="0" customWidth="1"/>
  </x:cols>
  <x:sheetData>
    <x:row r="1" ht="32" customHeight="1">
      <x:c r="A1" s="124" t="str">
        <x:v>Funded debt and financing | G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</x:row>
    <x:row r="2">
      <x:c r="A2" s="125"/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</x:row>
    <x:row r="4" ht="38" customHeight="1">
      <x:c r="A4" s="140" t="str">
        <x:v>Region</x:v>
      </x:c>
      <x:c r="B4" s="140" t="str">
        <x:v>Opening principal</x:v>
      </x:c>
      <x:c r="C4" s="140" t="str">
        <x:v>Annual interest rate</x:v>
      </x:c>
      <x:c r="D4" s="140" t="str">
        <x:v>Interest accrued</x:v>
      </x:c>
      <x:c r="E4" s="140" t="str">
        <x:v>Cash interest paid</x:v>
      </x:c>
      <x:c r="F4" s="140" t="str">
        <x:v>Interest paid fraction</x:v>
      </x:c>
      <x:c r="G4" s="140" t="str">
        <x:v>Principal repaid</x:v>
      </x:c>
      <x:c r="H4" s="140" t="str">
        <x:v>New borrowing</x:v>
      </x:c>
      <x:c r="I4" s="140" t="str">
        <x:v>Unpaid interest</x:v>
      </x:c>
      <x:c r="J4" s="140" t="str">
        <x:v>Closing funded debt</x:v>
      </x:c>
      <x:c r="K4" s="140" t="str">
        <x:v>Crown tax arrears</x:v>
      </x:c>
      <x:c r="L4" s="140" t="str">
        <x:v>Creditor / assumption</x:v>
      </x:c>
    </x:row>
    <x:row r="5" ht="28" customHeight="1">
      <x:c r="A5" s="128" t="str">
        <x:v>North</x:v>
      </x:c>
      <x:c r="B5" s="141" t="n">
        <x:f>Inputs!G5</x:f>
        <x:v>100000</x:v>
      </x:c>
      <x:c r="C5" s="173" t="n">
        <x:f>Inputs!H5</x:f>
        <x:v>0.08</x:v>
      </x:c>
      <x:c r="D5" s="141" t="n">
        <x:f>(B5+H5)*C5</x:f>
        <x:v>8000</x:v>
      </x:c>
      <x:c r="E5" s="141" t="n">
        <x:f>D5*F5</x:f>
        <x:v>8000</x:v>
      </x:c>
      <x:c r="F5" s="171" t="n">
        <x:v>1</x:v>
      </x:c>
      <x:c r="G5" s="141" t="n">
        <x:f>MIN(Inputs!I5,B5+H5)</x:f>
        <x:v>10000</x:v>
      </x:c>
      <x:c r="H5" s="156" t="n">
        <x:v>0</x:v>
      </x:c>
      <x:c r="I5" s="141" t="n">
        <x:f>D5-E5</x:f>
        <x:v>0</x:v>
      </x:c>
      <x:c r="J5" s="141" t="n">
        <x:f>B5+H5+I5-G5</x:f>
        <x:v>90000</x:v>
      </x:c>
      <x:c r="K5" s="141" t="n">
        <x:f>Transfers!H5</x:f>
        <x:v>0</x:v>
      </x:c>
      <x:c r="L5" s="167" t="str">
        <x:v>Manderly lending pool; M1 invented contract</x:v>
      </x:c>
    </x:row>
    <x:row r="6" ht="28" customHeight="1">
      <x:c r="A6" s="128" t="str">
        <x:v>Vale</x:v>
      </x:c>
      <x:c r="B6" s="141" t="n">
        <x:f>Inputs!G6</x:f>
        <x:v>200000</x:v>
      </x:c>
      <x:c r="C6" s="173" t="n">
        <x:f>Inputs!H6</x:f>
        <x:v>0.08</x:v>
      </x:c>
      <x:c r="D6" s="141" t="n">
        <x:f>(B6+H6)*C6</x:f>
        <x:v>16000</x:v>
      </x:c>
      <x:c r="E6" s="141" t="n">
        <x:f>D6*F6</x:f>
        <x:v>16000</x:v>
      </x:c>
      <x:c r="F6" s="171" t="n">
        <x:v>1</x:v>
      </x:c>
      <x:c r="G6" s="141" t="n">
        <x:f>MIN(Inputs!I6,B6+H6)</x:f>
        <x:v>25000</x:v>
      </x:c>
      <x:c r="H6" s="156" t="n">
        <x:v>0</x:v>
      </x:c>
      <x:c r="I6" s="141" t="n">
        <x:f>D6-E6</x:f>
        <x:v>0</x:v>
      </x:c>
      <x:c r="J6" s="141" t="n">
        <x:f>B6+H6+I6-G6</x:f>
        <x:v>175000</x:v>
      </x:c>
      <x:c r="K6" s="141" t="n">
        <x:f>Transfers!H6</x:f>
        <x:v>0</x:v>
      </x:c>
      <x:c r="L6" s="167" t="str">
        <x:v>Gulltown merchants; M1 invented contract</x:v>
      </x:c>
    </x:row>
    <x:row r="7" ht="28" customHeight="1">
      <x:c r="A7" s="128" t="str">
        <x:v>Riverlands</x:v>
      </x:c>
      <x:c r="B7" s="141" t="n">
        <x:f>Inputs!G7</x:f>
        <x:v>300000</x:v>
      </x:c>
      <x:c r="C7" s="173" t="n">
        <x:f>Inputs!H7</x:f>
        <x:v>0.08</x:v>
      </x:c>
      <x:c r="D7" s="141" t="n">
        <x:f>(B7+H7)*C7</x:f>
        <x:v>24000</x:v>
      </x:c>
      <x:c r="E7" s="141" t="n">
        <x:f>D7*F7</x:f>
        <x:v>24000</x:v>
      </x:c>
      <x:c r="F7" s="171" t="n">
        <x:v>1</x:v>
      </x:c>
      <x:c r="G7" s="141" t="n">
        <x:f>MIN(Inputs!I7,B7+H7)</x:f>
        <x:v>25000</x:v>
      </x:c>
      <x:c r="H7" s="156" t="n">
        <x:v>0</x:v>
      </x:c>
      <x:c r="I7" s="141" t="n">
        <x:f>D7-E7</x:f>
        <x:v>0</x:v>
      </x:c>
      <x:c r="J7" s="141" t="n">
        <x:f>B7+H7+I7-G7</x:f>
        <x:v>275000</x:v>
      </x:c>
      <x:c r="K7" s="141" t="n">
        <x:f>Transfers!H7</x:f>
        <x:v>0</x:v>
      </x:c>
      <x:c r="L7" s="167" t="str">
        <x:v>Frey / Maidenpool lenders; M1 invented contract</x:v>
      </x:c>
    </x:row>
    <x:row r="8" ht="28" customHeight="1">
      <x:c r="A8" s="128" t="str">
        <x:v>Westerlands</x:v>
      </x:c>
      <x:c r="B8" s="141" t="n">
        <x:f>Inputs!G8</x:f>
        <x:v>0</x:v>
      </x:c>
      <x:c r="C8" s="173" t="n">
        <x:f>Inputs!H8</x:f>
        <x:v>0.08</x:v>
      </x:c>
      <x:c r="D8" s="141" t="n">
        <x:f>(B8+H8)*C8</x:f>
        <x:v>0</x:v>
      </x:c>
      <x:c r="E8" s="141" t="n">
        <x:f>D8*F8</x:f>
        <x:v>0</x:v>
      </x:c>
      <x:c r="F8" s="171" t="n">
        <x:v>1</x:v>
      </x:c>
      <x:c r="G8" s="141" t="n">
        <x:f>MIN(Inputs!I8,B8+H8)</x:f>
        <x:v>0</x:v>
      </x:c>
      <x:c r="H8" s="156" t="n">
        <x:v>0</x:v>
      </x:c>
      <x:c r="I8" s="141" t="n">
        <x:f>D8-E8</x:f>
        <x:v>0</x:v>
      </x:c>
      <x:c r="J8" s="141" t="n">
        <x:f>B8+H8+I8-G8</x:f>
        <x:v>0</x:v>
      </x:c>
      <x:c r="K8" s="141" t="n">
        <x:f>Transfers!H8</x:f>
        <x:v>0</x:v>
      </x:c>
      <x:c r="L8" s="167" t="str">
        <x:v>No funded debt; M1 invented contract</x:v>
      </x:c>
    </x:row>
    <x:row r="9" ht="28" customHeight="1">
      <x:c r="A9" s="128" t="str">
        <x:v>Reach</x:v>
      </x:c>
      <x:c r="B9" s="141" t="n">
        <x:f>Inputs!G9</x:f>
        <x:v>400000</x:v>
      </x:c>
      <x:c r="C9" s="173" t="n">
        <x:f>Inputs!H9</x:f>
        <x:v>0.08</x:v>
      </x:c>
      <x:c r="D9" s="141" t="n">
        <x:f>(B9+H9)*C9</x:f>
        <x:v>32000</x:v>
      </x:c>
      <x:c r="E9" s="141" t="n">
        <x:f>D9*F9</x:f>
        <x:v>32000</x:v>
      </x:c>
      <x:c r="F9" s="171" t="n">
        <x:v>1</x:v>
      </x:c>
      <x:c r="G9" s="141" t="n">
        <x:f>MIN(Inputs!I9,B9+H9)</x:f>
        <x:v>50000</x:v>
      </x:c>
      <x:c r="H9" s="156" t="n">
        <x:v>0</x:v>
      </x:c>
      <x:c r="I9" s="141" t="n">
        <x:f>D9-E9</x:f>
        <x:v>0</x:v>
      </x:c>
      <x:c r="J9" s="141" t="n">
        <x:f>B9+H9+I9-G9</x:f>
        <x:v>350000</x:v>
      </x:c>
      <x:c r="K9" s="141" t="n">
        <x:f>Transfers!H9</x:f>
        <x:v>0</x:v>
      </x:c>
      <x:c r="L9" s="167" t="str">
        <x:v>Oldtown / Hightower lenders; M1 invented contract</x:v>
      </x:c>
    </x:row>
    <x:row r="10" ht="28" customHeight="1">
      <x:c r="A10" s="128" t="str">
        <x:v>Stormlands</x:v>
      </x:c>
      <x:c r="B10" s="141" t="n">
        <x:f>Inputs!G10</x:f>
        <x:v>180000</x:v>
      </x:c>
      <x:c r="C10" s="173" t="n">
        <x:f>Inputs!H10</x:f>
        <x:v>0.1</x:v>
      </x:c>
      <x:c r="D10" s="141" t="n">
        <x:f>(B10+H10)*C10</x:f>
        <x:v>18000</x:v>
      </x:c>
      <x:c r="E10" s="141" t="n">
        <x:f>D10*F10</x:f>
        <x:v>18000</x:v>
      </x:c>
      <x:c r="F10" s="171" t="n">
        <x:v>1</x:v>
      </x:c>
      <x:c r="G10" s="141" t="n">
        <x:f>MIN(Inputs!I10,B10+H10)</x:f>
        <x:v>15000</x:v>
      </x:c>
      <x:c r="H10" s="156" t="n">
        <x:v>0</x:v>
      </x:c>
      <x:c r="I10" s="141" t="n">
        <x:f>D10-E10</x:f>
        <x:v>0</x:v>
      </x:c>
      <x:c r="J10" s="141" t="n">
        <x:f>B10+H10+I10-G10</x:f>
        <x:v>165000</x:v>
      </x:c>
      <x:c r="K10" s="141" t="n">
        <x:f>Transfers!H10</x:f>
        <x:v>0</x:v>
      </x:c>
      <x:c r="L10" s="167" t="str">
        <x:v>Commercial lenders; M1 invented contract</x:v>
      </x:c>
    </x:row>
    <x:row r="11" ht="28" customHeight="1">
      <x:c r="A11" s="128" t="str">
        <x:v>Dorne</x:v>
      </x:c>
      <x:c r="B11" s="141" t="n">
        <x:f>Inputs!G11</x:f>
        <x:v>200000</x:v>
      </x:c>
      <x:c r="C11" s="173" t="n">
        <x:f>Inputs!H11</x:f>
        <x:v>0.08</x:v>
      </x:c>
      <x:c r="D11" s="141" t="n">
        <x:f>(B11+H11)*C11</x:f>
        <x:v>16000</x:v>
      </x:c>
      <x:c r="E11" s="141" t="n">
        <x:f>D11*F11</x:f>
        <x:v>16000</x:v>
      </x:c>
      <x:c r="F11" s="171" t="n">
        <x:v>1</x:v>
      </x:c>
      <x:c r="G11" s="141" t="n">
        <x:f>MIN(Inputs!I11,B11+H11)</x:f>
        <x:v>20000</x:v>
      </x:c>
      <x:c r="H11" s="156" t="n">
        <x:v>0</x:v>
      </x:c>
      <x:c r="I11" s="141" t="n">
        <x:f>D11-E11</x:f>
        <x:v>0</x:v>
      </x:c>
      <x:c r="J11" s="141" t="n">
        <x:f>B11+H11+I11-G11</x:f>
        <x:v>180000</x:v>
      </x:c>
      <x:c r="K11" s="141" t="n">
        <x:f>Transfers!H11</x:f>
        <x:v>0</x:v>
      </x:c>
      <x:c r="L11" s="167" t="str">
        <x:v>Planky Town / Free City factors; M1 invented contract</x:v>
      </x:c>
    </x:row>
    <x:row r="12" ht="28" customHeight="1">
      <x:c r="A12" s="128" t="str">
        <x:v>Iron Islands</x:v>
      </x:c>
      <x:c r="B12" s="141" t="n">
        <x:f>Inputs!G12</x:f>
        <x:v>80000</x:v>
      </x:c>
      <x:c r="C12" s="173" t="n">
        <x:f>Inputs!H12</x:f>
        <x:v>0.1</x:v>
      </x:c>
      <x:c r="D12" s="141" t="n">
        <x:f>(B12+H12)*C12</x:f>
        <x:v>8000</x:v>
      </x:c>
      <x:c r="E12" s="141" t="n">
        <x:f>D12*F12</x:f>
        <x:v>8000</x:v>
      </x:c>
      <x:c r="F12" s="171" t="n">
        <x:v>1</x:v>
      </x:c>
      <x:c r="G12" s="141" t="n">
        <x:f>MIN(Inputs!I12,B12+H12)</x:f>
        <x:v>10000</x:v>
      </x:c>
      <x:c r="H12" s="156" t="n">
        <x:v>0</x:v>
      </x:c>
      <x:c r="I12" s="141" t="n">
        <x:f>D12-E12</x:f>
        <x:v>0</x:v>
      </x:c>
      <x:c r="J12" s="141" t="n">
        <x:f>B12+H12+I12-G12</x:f>
        <x:v>70000</x:v>
      </x:c>
      <x:c r="K12" s="141" t="n">
        <x:f>Transfers!H12</x:f>
        <x:v>0</x:v>
      </x:c>
      <x:c r="L12" s="167" t="str">
        <x:v>Lordsport merchants; M1 invented contract</x:v>
      </x:c>
    </x:row>
    <x:row r="13" ht="28" customHeight="1">
      <x:c r="A13" s="128" t="str">
        <x:v>Crownlands / Crown</x:v>
      </x:c>
      <x:c r="B13" s="141" t="n">
        <x:f>Inputs!G13</x:f>
        <x:v>0</x:v>
      </x:c>
      <x:c r="C13" s="173" t="n">
        <x:f>Inputs!H13</x:f>
        <x:v>0.08</x:v>
      </x:c>
      <x:c r="D13" s="141" t="n">
        <x:f>(B13+H13)*C13</x:f>
        <x:v>0</x:v>
      </x:c>
      <x:c r="E13" s="141" t="n">
        <x:f>D13*F13</x:f>
        <x:v>0</x:v>
      </x:c>
      <x:c r="F13" s="171" t="n">
        <x:v>1</x:v>
      </x:c>
      <x:c r="G13" s="141" t="n">
        <x:f>MIN(Inputs!I13,B13+H13)</x:f>
        <x:v>0</x:v>
      </x:c>
      <x:c r="H13" s="156" t="n">
        <x:v>0</x:v>
      </x:c>
      <x:c r="I13" s="141" t="n">
        <x:f>D13-E13</x:f>
        <x:v>0</x:v>
      </x:c>
      <x:c r="J13" s="141" t="n">
        <x:f>B13+H13+I13-G13</x:f>
        <x:v>0</x:v>
      </x:c>
      <x:c r="K13" s="141" t="n">
        <x:f>0</x:f>
        <x:v>0</x:v>
      </x:c>
      <x:c r="L13" s="167" t="str">
        <x:v>No funded debt; inherited cash is not proof of this assumption; M1 invented contract</x:v>
      </x:c>
    </x:row>
    <x:row r="14" ht="28" customHeight="1">
      <x:c r="A14" s="128"/>
      <x:c r="B14" s="128"/>
      <x:c r="C14" s="128"/>
      <x:c r="D14" s="128"/>
      <x:c r="E14" s="128"/>
      <x:c r="F14" s="128"/>
      <x:c r="G14" s="128"/>
      <x:c r="H14" s="128"/>
      <x:c r="I14" s="128"/>
      <x:c r="J14" s="128"/>
      <x:c r="K14" s="128"/>
      <x:c r="L14" s="128"/>
    </x:row>
    <x:row r="15" ht="35" customHeight="1">
      <x:c r="A15" s="131" t="str">
        <x:v>New borrowing is assumed drawn at Turn 1 and attracts a full year of interest. Scheduled principal is paid in Turn 12; this is a simple timing convention.</x:v>
      </x:c>
      <x:c r="B15" s="131"/>
      <x:c r="C15" s="131"/>
      <x:c r="D15" s="131"/>
      <x:c r="E15" s="131"/>
      <x:c r="F15" s="131"/>
      <x:c r="G15" s="131"/>
      <x:c r="H15" s="131"/>
      <x:c r="I15" s="131"/>
      <x:c r="J15" s="131"/>
      <x:c r="K15" s="131"/>
      <x:c r="L15" s="131"/>
    </x:row>
    <x:row r="16" ht="35" customHeight="1">
      <x:c r="A16" s="131" t="str">
        <x:v>Credit facilities are not treasury assets. Existing debts and creditor identities here are scenario choices, not established debts in the novels.</x:v>
      </x:c>
      <x:c r="B16" s="131"/>
      <x:c r="C16" s="131"/>
      <x:c r="D16" s="131"/>
      <x:c r="E16" s="131"/>
      <x:c r="F16" s="131"/>
      <x:c r="G16" s="131"/>
      <x:c r="H16" s="131"/>
      <x:c r="I16" s="131"/>
      <x:c r="J16" s="131"/>
      <x:c r="K16" s="131"/>
      <x:c r="L16" s="131"/>
    </x:row>
    <x:row r="17" ht="22" customHeight="1">
      <x:c r="A17" s="128"/>
      <x:c r="B17" s="128"/>
      <x:c r="C17" s="128"/>
      <x:c r="D17" s="128"/>
      <x:c r="E17" s="128"/>
      <x:c r="F17" s="128"/>
      <x:c r="G17" s="128"/>
      <x:c r="H17" s="128"/>
      <x:c r="I17" s="128"/>
      <x:c r="J17" s="128"/>
      <x:c r="K17" s="128"/>
      <x:c r="L17" s="128"/>
    </x:row>
    <x:row r="18">
      <x:c r="A18" s="125"/>
      <x:c r="B18" s="125"/>
      <x:c r="C18" s="125"/>
      <x:c r="D18" s="125"/>
      <x:c r="E18" s="125"/>
      <x:c r="F18" s="125"/>
      <x:c r="G18" s="125"/>
      <x:c r="H18" s="125"/>
      <x:c r="I18" s="125"/>
      <x:c r="J18" s="125"/>
      <x:c r="K18" s="125"/>
      <x:c r="L18" s="125"/>
    </x:row>
  </x:sheetData>
  <x:mergeCells>
    <x:mergeCell ref="A1:L1"/>
    <x:mergeCell ref="A15:L15"/>
    <x:mergeCell ref="A16:L16"/>
  </x:mergeCells>
  <x:pageMargins left="0.7" right="0.7" top="0.75" bottom="0.75" header="0.3" footer="0.3"/>
  <x:legacyDrawing xmlns:r="http://schemas.openxmlformats.org/officeDocument/2006/relationships" r:id="R7bfdf5b912124c45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64" hidden="0" customWidth="1"/>
    <x:col min="8" max="8" width="16" hidden="0" customWidth="1"/>
  </x:cols>
  <x:sheetData>
    <x:row r="1" ht="32" customHeight="1">
      <x:c r="A1" s="124" t="str">
        <x:v>Extraordinary programmes | G and months</x:v>
      </x:c>
      <x:c r="B1" s="124"/>
      <x:c r="C1" s="124"/>
      <x:c r="D1" s="124"/>
      <x:c r="E1" s="124"/>
      <x:c r="F1" s="124"/>
      <x:c r="G1" s="124"/>
      <x:c r="H1" s="124"/>
    </x:row>
    <x:row r="2">
      <x:c r="A2" s="125"/>
      <x:c r="B2" s="125"/>
      <x:c r="C2" s="125"/>
      <x:c r="D2" s="125"/>
      <x:c r="E2" s="125"/>
      <x:c r="F2" s="125"/>
      <x:c r="G2" s="125"/>
      <x:c r="H2" s="125"/>
    </x:row>
    <x:row r="3">
      <x:c r="A3" s="125"/>
      <x:c r="B3" s="125"/>
      <x:c r="C3" s="125"/>
      <x:c r="D3" s="125"/>
      <x:c r="E3" s="125"/>
      <x:c r="F3" s="125"/>
      <x:c r="G3" s="125"/>
      <x:c r="H3" s="125"/>
    </x:row>
    <x:row r="4" ht="38" customHeight="1">
      <x:c r="A4" s="140" t="str">
        <x:v>Region</x:v>
      </x:c>
      <x:c r="B4" s="140" t="str">
        <x:v>Programme</x:v>
      </x:c>
      <x:c r="C4" s="140" t="str">
        <x:v>Total approved envelope</x:v>
      </x:c>
      <x:c r="D4" s="140" t="str">
        <x:v>Year 1 cash outlay</x:v>
      </x:c>
      <x:c r="E4" s="140" t="str">
        <x:v>Delivery (months)</x:v>
      </x:c>
      <x:c r="F4" s="140" t="str">
        <x:v>Future annual maintenance</x:v>
      </x:c>
      <x:c r="G4" s="140" t="str">
        <x:v>Scope / prerequisites</x:v>
      </x:c>
      <x:c r="H4" s="140" t="str">
        <x:v>Unspent commitment</x:v>
      </x:c>
    </x:row>
    <x:row r="5" ht="28" customHeight="1">
      <x:c r="A5" s="167" t="str">
        <x:v>North</x:v>
      </x:c>
      <x:c r="B5" s="167" t="str">
        <x:v>Returning-host costs and seed / livestock relief</x:v>
      </x:c>
      <x:c r="C5" s="175" t="n">
        <x:v>40000</x:v>
      </x:c>
      <x:c r="D5" s="175" t="n">
        <x:v>40000</x:v>
      </x:c>
      <x:c r="E5" s="175" t="n">
        <x:v>12</x:v>
      </x:c>
      <x:c r="F5" s="175" t="n">
        <x:v>0</x:v>
      </x:c>
      <x:c r="G5" s="147" t="str">
        <x:v>Relief and repair, not a repeat charge for the completed rebellion</x:v>
      </x:c>
      <x:c r="H5" s="147" t="n">
        <x:f>MAX(0,C5-D5)</x:f>
        <x:v>0</x:v>
      </x:c>
    </x:row>
    <x:row r="6" ht="28" customHeight="1">
      <x:c r="A6" s="167" t="str">
        <x:v>Vale</x:v>
      </x:c>
      <x:c r="B6" s="167" t="str">
        <x:v>Gulltown repair and remobilisation reserve</x:v>
      </x:c>
      <x:c r="C6" s="175" t="n">
        <x:v>150000</x:v>
      </x:c>
      <x:c r="D6" s="175" t="n">
        <x:v>150000</x:v>
      </x:c>
      <x:c r="E6" s="175" t="n">
        <x:v>12</x:v>
      </x:c>
      <x:c r="F6" s="175" t="n">
        <x:v>0</x:v>
      </x:c>
      <x:c r="G6" s="147" t="str">
        <x:v>Local repair only; do not assume the whole Vale was invaded</x:v>
      </x:c>
      <x:c r="H6" s="147" t="n">
        <x:f>MAX(0,C6-D6)</x:f>
        <x:v>0</x:v>
      </x:c>
    </x:row>
    <x:row r="7" ht="28" customHeight="1">
      <x:c r="A7" s="167" t="str">
        <x:v>Riverlands</x:v>
      </x:c>
      <x:c r="B7" s="167" t="str">
        <x:v>Seed, breeding stock and village recovery grants</x:v>
      </x:c>
      <x:c r="C7" s="175" t="n">
        <x:v>65000</x:v>
      </x:c>
      <x:c r="D7" s="175" t="n">
        <x:v>65000</x:v>
      </x:c>
      <x:c r="E7" s="175" t="n">
        <x:v>12</x:v>
      </x:c>
      <x:c r="F7" s="175" t="n">
        <x:v>0</x:v>
      </x:c>
      <x:c r="G7" s="147" t="str">
        <x:v>Relief to selected affected districts</x:v>
      </x:c>
      <x:c r="H7" s="147" t="n">
        <x:f>MAX(0,C7-D7)</x:f>
        <x:v>0</x:v>
      </x:c>
    </x:row>
    <x:row r="8" ht="28" customHeight="1">
      <x:c r="A8" s="167" t="str">
        <x:v>Riverlands</x:v>
      </x:c>
      <x:c r="B8" s="167" t="str">
        <x:v>Mills, ferries and bridge repairs</x:v>
      </x:c>
      <x:c r="C8" s="175" t="n">
        <x:v>90000</x:v>
      </x:c>
      <x:c r="D8" s="175" t="n">
        <x:v>45000</x:v>
      </x:c>
      <x:c r="E8" s="175" t="n">
        <x:v>24</x:v>
      </x:c>
      <x:c r="F8" s="175" t="n">
        <x:v>3000</x:v>
      </x:c>
      <x:c r="G8" s="147" t="str">
        <x:v>Remaining commitment falls in later years</x:v>
      </x:c>
      <x:c r="H8" s="147" t="n">
        <x:f>MAX(0,C8-D8)</x:f>
        <x:v>45000</x:v>
      </x:c>
    </x:row>
    <x:row r="9" ht="28" customHeight="1">
      <x:c r="A9" s="167" t="str">
        <x:v>Westerlands</x:v>
      </x:c>
      <x:c r="B9" s="167" t="str">
        <x:v>Mine drainage, access and assay improvements</x:v>
      </x:c>
      <x:c r="C9" s="175" t="n">
        <x:v>500000</x:v>
      </x:c>
      <x:c r="D9" s="175" t="n">
        <x:v>220000</x:v>
      </x:c>
      <x:c r="E9" s="175" t="n">
        <x:v>30</x:v>
      </x:c>
      <x:c r="F9" s="175" t="n">
        <x:v>12000</x:v>
      </x:c>
      <x:c r="G9" s="147" t="str">
        <x:v>No production increase until completed and proved</x:v>
      </x:c>
      <x:c r="H9" s="147" t="n">
        <x:f>MAX(0,C9-D9)</x:f>
        <x:v>280000</x:v>
      </x:c>
    </x:row>
    <x:row r="10" ht="28" customHeight="1">
      <x:c r="A10" s="167" t="str">
        <x:v>Westerlands</x:v>
      </x:c>
      <x:c r="B10" s="167" t="str">
        <x:v>Road / harbour repair contracts</x:v>
      </x:c>
      <x:c r="C10" s="175" t="n">
        <x:v>240000</x:v>
      </x:c>
      <x:c r="D10" s="175" t="n">
        <x:v>130000</x:v>
      </x:c>
      <x:c r="E10" s="175" t="n">
        <x:v>24</x:v>
      </x:c>
      <x:c r="F10" s="175" t="n">
        <x:v>6000</x:v>
      </x:c>
      <x:c r="G10" s="147" t="str">
        <x:v>Local network, not rebuilding all of Lannisport</x:v>
      </x:c>
      <x:c r="H10" s="147" t="n">
        <x:f>MAX(0,C10-D10)</x:f>
        <x:v>110000</x:v>
      </x:c>
    </x:row>
    <x:row r="11" ht="28" customHeight="1">
      <x:c r="A11" s="167" t="str">
        <x:v>Reach</x:v>
      </x:c>
      <x:c r="B11" s="167" t="str">
        <x:v>Demobilisation and depleted stores</x:v>
      </x:c>
      <x:c r="C11" s="175" t="n">
        <x:v>200000</x:v>
      </x:c>
      <x:c r="D11" s="175" t="n">
        <x:v>200000</x:v>
      </x:c>
      <x:c r="E11" s="175" t="n">
        <x:v>12</x:v>
      </x:c>
      <x:c r="F11" s="175" t="n">
        <x:v>0</x:v>
      </x:c>
      <x:c r="G11" s="147" t="str">
        <x:v>Does not assume invented Tyrell reparations</x:v>
      </x:c>
      <x:c r="H11" s="147" t="n">
        <x:f>MAX(0,C11-D11)</x:f>
        <x:v>0</x:v>
      </x:c>
    </x:row>
    <x:row r="12" ht="28" customHeight="1">
      <x:c r="A12" s="167" t="str">
        <x:v>Reach</x:v>
      </x:c>
      <x:c r="B12" s="167" t="str">
        <x:v>Granaries, mills and western coast repair</x:v>
      </x:c>
      <x:c r="C12" s="175" t="n">
        <x:v>420000</x:v>
      </x:c>
      <x:c r="D12" s="175" t="n">
        <x:v>200000</x:v>
      </x:c>
      <x:c r="E12" s="175" t="n">
        <x:v>24</x:v>
      </x:c>
      <x:c r="F12" s="175" t="n">
        <x:v>8000</x:v>
      </x:c>
      <x:c r="G12" s="147" t="str">
        <x:v>Dispersed small works; not a major fortress</x:v>
      </x:c>
      <x:c r="H12" s="147" t="n">
        <x:f>MAX(0,C12-D12)</x:f>
        <x:v>220000</x:v>
      </x:c>
    </x:row>
    <x:row r="13" ht="28" customHeight="1">
      <x:c r="A13" s="167" t="str">
        <x:v>Stormlands</x:v>
      </x:c>
      <x:c r="B13" s="167" t="str">
        <x:v>Storm's End restocking and breeding animals</x:v>
      </x:c>
      <x:c r="C13" s="175" t="n">
        <x:v>65000</x:v>
      </x:c>
      <x:c r="D13" s="175" t="n">
        <x:v>65000</x:v>
      </x:c>
      <x:c r="E13" s="175" t="n">
        <x:v>12</x:v>
      </x:c>
      <x:c r="F13" s="175" t="n">
        <x:v>0</x:v>
      </x:c>
      <x:c r="G13" s="147" t="str">
        <x:v>Food and livestock, not the cash balance of the entire region</x:v>
      </x:c>
      <x:c r="H13" s="147" t="n">
        <x:f>MAX(0,C13-D13)</x:f>
        <x:v>0</x:v>
      </x:c>
    </x:row>
    <x:row r="14" ht="28" customHeight="1">
      <x:c r="A14" s="167" t="str">
        <x:v>Stormlands</x:v>
      </x:c>
      <x:c r="B14" s="167" t="str">
        <x:v>Road and farm-recovery works</x:v>
      </x:c>
      <x:c r="C14" s="175" t="n">
        <x:v>80000</x:v>
      </x:c>
      <x:c r="D14" s="175" t="n">
        <x:v>35000</x:v>
      </x:c>
      <x:c r="E14" s="175" t="n">
        <x:v>24</x:v>
      </x:c>
      <x:c r="F14" s="175" t="n">
        <x:v>3000</x:v>
      </x:c>
      <x:c r="G14" s="147" t="str">
        <x:v>Target siege hinterland and battle corridors</x:v>
      </x:c>
      <x:c r="H14" s="147" t="n">
        <x:f>MAX(0,C14-D14)</x:f>
        <x:v>45000</x:v>
      </x:c>
    </x:row>
    <x:row r="15" ht="28" customHeight="1">
      <x:c r="A15" s="167" t="str">
        <x:v>Dorne</x:v>
      </x:c>
      <x:c r="B15" s="167" t="str">
        <x:v>Irrigation repair and campaign household relief</x:v>
      </x:c>
      <x:c r="C15" s="175" t="n">
        <x:v>120000</x:v>
      </x:c>
      <x:c r="D15" s="175" t="n">
        <x:v>60000</x:v>
      </x:c>
      <x:c r="E15" s="175" t="n">
        <x:v>24</x:v>
      </x:c>
      <x:c r="F15" s="175" t="n">
        <x:v>4000</x:v>
      </x:c>
      <x:c r="G15" s="147" t="str">
        <x:v>Avoid assuming all 10,000 Dornish soldiers died</x:v>
      </x:c>
      <x:c r="H15" s="147" t="n">
        <x:f>MAX(0,C15-D15)</x:f>
        <x:v>60000</x:v>
      </x:c>
    </x:row>
    <x:row r="16" ht="28" customHeight="1">
      <x:c r="A16" s="167" t="str">
        <x:v>Iron Islands</x:v>
      </x:c>
      <x:c r="B16" s="167" t="str">
        <x:v>Replacement hulls and food stocks</x:v>
      </x:c>
      <x:c r="C16" s="175" t="n">
        <x:v>70000</x:v>
      </x:c>
      <x:c r="D16" s="175" t="n">
        <x:v>35000</x:v>
      </x:c>
      <x:c r="E16" s="175" t="n">
        <x:v>24</x:v>
      </x:c>
      <x:c r="F16" s="175" t="n">
        <x:v>3500</x:v>
      </x:c>
      <x:c r="G16" s="147" t="str">
        <x:v>No completed 298 AC Iron Fleet is imported into 283</x:v>
      </x:c>
      <x:c r="H16" s="147" t="n">
        <x:f>MAX(0,C16-D16)</x:f>
        <x:v>35000</x:v>
      </x:c>
    </x:row>
    <x:row r="17" ht="28" customHeight="1">
      <x:c r="A17" s="167" t="str">
        <x:v>Crownlands / Crown</x:v>
      </x:c>
      <x:c r="B17" s="167" t="str">
        <x:v>King's Landing reconstruction</x:v>
      </x:c>
      <x:c r="C17" s="175" t="n">
        <x:v>550000</x:v>
      </x:c>
      <x:c r="D17" s="175" t="n">
        <x:v>250000</x:v>
      </x:c>
      <x:c r="E17" s="175" t="n">
        <x:v>24</x:v>
      </x:c>
      <x:c r="F17" s="175" t="n">
        <x:v>15000</x:v>
      </x:c>
      <x:c r="G17" s="147" t="str">
        <x:v>Repair grants, wharves and public structures</x:v>
      </x:c>
      <x:c r="H17" s="147" t="n">
        <x:f>MAX(0,C17-D17)</x:f>
        <x:v>300000</x:v>
      </x:c>
    </x:row>
    <x:row r="18" ht="28" customHeight="1">
      <x:c r="A18" s="167" t="str">
        <x:v>Crownlands / Crown</x:v>
      </x:c>
      <x:c r="B18" s="167" t="str">
        <x:v>New royal fleet and Dragonstone expedition</x:v>
      </x:c>
      <x:c r="C18" s="175" t="n">
        <x:v>550000</x:v>
      </x:c>
      <x:c r="D18" s="175" t="n">
        <x:v>300000</x:v>
      </x:c>
      <x:c r="E18" s="175" t="n">
        <x:v>18</x:v>
      </x:c>
      <x:c r="F18" s="175" t="n">
        <x:v>40000</x:v>
      </x:c>
      <x:c r="G18" s="147" t="str">
        <x:v>Acquisition, crews, stores and mobilisation; not hull costs alone</x:v>
      </x:c>
      <x:c r="H18" s="147" t="n">
        <x:f>MAX(0,C18-D18)</x:f>
        <x:v>250000</x:v>
      </x:c>
    </x:row>
    <x:row r="19" ht="28" customHeight="1">
      <x:c r="A19" s="167" t="str">
        <x:v>Crownlands / Crown</x:v>
      </x:c>
      <x:c r="B19" s="167" t="str">
        <x:v>Settlement, demobilisation and exceptional claims</x:v>
      </x:c>
      <x:c r="C19" s="175" t="n">
        <x:v>100000</x:v>
      </x:c>
      <x:c r="D19" s="175" t="n">
        <x:v>100000</x:v>
      </x:c>
      <x:c r="E19" s="175" t="n">
        <x:v>12</x:v>
      </x:c>
      <x:c r="F19" s="175" t="n">
        <x:v>0</x:v>
      </x:c>
      <x:c r="G19" s="147" t="str">
        <x:v>Forward settlement costs, not completed wartime outlays</x:v>
      </x:c>
      <x:c r="H19" s="147" t="n">
        <x:f>MAX(0,C19-D19)</x:f>
        <x:v>0</x:v>
      </x:c>
    </x:row>
    <x:row r="20" ht="28" customHeight="1">
      <x:c r="A20" s="128"/>
      <x:c r="B20" s="128"/>
      <x:c r="C20" s="128"/>
      <x:c r="D20" s="128"/>
      <x:c r="E20" s="128"/>
      <x:c r="F20" s="128"/>
      <x:c r="G20" s="128"/>
      <x:c r="H20" s="128"/>
    </x:row>
    <x:row r="21" ht="22" customHeight="1">
      <x:c r="A21" s="128"/>
      <x:c r="B21" s="128"/>
      <x:c r="C21" s="128"/>
      <x:c r="D21" s="128"/>
      <x:c r="E21" s="128"/>
      <x:c r="F21" s="128"/>
      <x:c r="G21" s="128"/>
      <x:c r="H21" s="128"/>
    </x:row>
    <x:row r="22" ht="35" customHeight="1">
      <x:c r="A22" s="131" t="str">
        <x:v>M3: revised programme envelopes. Cash grants / purchases must not also be entered in Goods detail unless removed from this programme.</x:v>
      </x:c>
      <x:c r="B22" s="131"/>
      <x:c r="C22" s="131"/>
      <x:c r="D22" s="131"/>
      <x:c r="E22" s="131"/>
      <x:c r="F22" s="131"/>
      <x:c r="G22" s="131"/>
      <x:c r="H22" s="131"/>
    </x:row>
    <x:row r="23" ht="22" customHeight="1">
      <x:c r="A23" s="128"/>
      <x:c r="B23" s="128"/>
      <x:c r="C23" s="128"/>
      <x:c r="D23" s="128"/>
      <x:c r="E23" s="128"/>
      <x:c r="F23" s="128"/>
      <x:c r="G23" s="128"/>
      <x:c r="H23" s="128"/>
    </x:row>
    <x:row r="24" ht="22" customHeight="1">
      <x:c r="A24" s="128"/>
      <x:c r="B24" s="128"/>
      <x:c r="C24" s="128"/>
      <x:c r="D24" s="128"/>
      <x:c r="E24" s="128"/>
      <x:c r="F24" s="128"/>
      <x:c r="G24" s="128"/>
      <x:c r="H24" s="128"/>
    </x:row>
  </x:sheetData>
  <x:mergeCells>
    <x:mergeCell ref="A1:H1"/>
    <x:mergeCell ref="A22:H22"/>
  </x:mergeCells>
  <x:pageMargins left="0.7" right="0.7" top="0.75" bottom="0.75" header="0.3" footer="0.3"/>
  <x:legacyDrawing xmlns:r="http://schemas.openxmlformats.org/officeDocument/2006/relationships" r:id="R370363c249194b61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8" hidden="0" customWidth="1"/>
  </x:cols>
  <x:sheetData>
    <x:row r="1" ht="32" customHeight="1">
      <x:c r="A1" s="124" t="str">
        <x:v>v2 price book: new base prices in actual gold dragons</x:v>
      </x:c>
      <x:c r="B1" s="124"/>
      <x:c r="C1" s="124"/>
      <x:c r="D1" s="124"/>
      <x:c r="E1" s="124"/>
      <x:c r="F1" s="124"/>
      <x:c r="G1" s="124"/>
      <x:c r="H1" s="124"/>
      <x:c r="I1" s="125"/>
      <x:c r="J1" s="125"/>
      <x:c r="K1" s="125"/>
    </x:row>
    <x:row r="2">
      <x:c r="A2" s="125"/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</x:row>
    <x:row r="4" ht="38" customHeight="1">
      <x:c r="A4" s="140" t="str">
        <x:v>Category</x:v>
      </x:c>
      <x:c r="B4" s="140" t="str">
        <x:v>Item</x:v>
      </x:c>
      <x:c r="C4" s="140" t="str">
        <x:v>Unit</x:v>
      </x:c>
      <x:c r="D4" s="140" t="str">
        <x:v>v2 base price G</x:v>
      </x:c>
      <x:c r="E4" s="140" t="str">
        <x:v>Current price G</x:v>
      </x:c>
      <x:c r="F4" s="140" t="str">
        <x:v>Silver stags</x:v>
      </x:c>
      <x:c r="G4" s="140" t="str">
        <x:v>Copper pennies</x:v>
      </x:c>
      <x:c r="H4" s="140" t="str">
        <x:v>Evidence / exclusions</x:v>
      </x:c>
      <x:c r="I4" s="192" t="str">
        <x:v>Price multiplier</x:v>
      </x:c>
      <x:c r="J4" s="192" t="str">
        <x:v>v1 price G</x:v>
      </x:c>
      <x:c r="K4" s="192" t="str">
        <x:v>Change multiple</x:v>
      </x:c>
    </x:row>
    <x:row r="5" ht="40" customHeight="1">
      <x:c r="A5" s="167" t="str">
        <x:v>Labour</x:v>
      </x:c>
      <x:c r="B5" s="167" t="str">
        <x:v>Unskilled labour</x:v>
      </x:c>
      <x:c r="C5" s="167" t="str">
        <x:v>paid day</x:v>
      </x:c>
      <x:c r="D5" s="216" t="n">
        <x:v>0.08</x:v>
      </x:c>
      <x:c r="E5" s="217" t="n">
        <x:f>D5*I5</x:f>
        <x:v>0.08</x:v>
      </x:c>
      <x:c r="F5" s="217" t="n">
        <x:f>E5*Settings!$B$6</x:f>
        <x:v>16.8</x:v>
      </x:c>
      <x:c r="G5" s="217" t="n">
        <x:f>F5*Settings!$B$7</x:f>
        <x:v>940.8000000000001</x:v>
      </x:c>
      <x:c r="H5" s="167" t="str">
        <x:v>M3: v2 simulation price, not a quote from F1/F2 or canon.</x:v>
      </x:c>
      <x:c r="I5" s="125" t="n">
        <x:v>1</x:v>
      </x:c>
      <x:c r="J5" s="219" t="n">
        <x:v>0.006333333333333333</x:v>
      </x:c>
      <x:c r="K5" s="220" t="n">
        <x:f>IF(J5=0,0,E5/J5)</x:f>
        <x:v>12.631578947368421</x:v>
      </x:c>
    </x:row>
    <x:row r="6" ht="40" customHeight="1">
      <x:c r="A6" s="167" t="str">
        <x:v>Labour</x:v>
      </x:c>
      <x:c r="B6" s="167" t="str">
        <x:v>Skilled craft labour</x:v>
      </x:c>
      <x:c r="C6" s="167" t="str">
        <x:v>paid day</x:v>
      </x:c>
      <x:c r="D6" s="216" t="n">
        <x:v>0.14</x:v>
      </x:c>
      <x:c r="E6" s="217" t="n">
        <x:f>D6*I6</x:f>
        <x:v>0.14</x:v>
      </x:c>
      <x:c r="F6" s="217" t="n">
        <x:f>E6*Settings!$B$6</x:f>
        <x:v>29.400000000000002</x:v>
      </x:c>
      <x:c r="G6" s="217" t="n">
        <x:f>F6*Settings!$B$7</x:f>
        <x:v>1646.4</x:v>
      </x:c>
      <x:c r="H6" s="167" t="str">
        <x:v>M3: v2 simulation price, not a quote from F1/F2 or canon.</x:v>
      </x:c>
      <x:c r="I6" s="125" t="n">
        <x:v>1</x:v>
      </x:c>
      <x:c r="J6" s="219" t="n">
        <x:v>0.008333333333333333</x:v>
      </x:c>
      <x:c r="K6" s="220" t="n">
        <x:f>IF(J6=0,0,E6/J6)</x:f>
        <x:v>16.8</x:v>
      </x:c>
    </x:row>
    <x:row r="7" ht="40" customHeight="1">
      <x:c r="A7" s="167" t="str">
        <x:v>Labour</x:v>
      </x:c>
      <x:c r="B7" s="167" t="str">
        <x:v>Master craft labour</x:v>
      </x:c>
      <x:c r="C7" s="167" t="str">
        <x:v>paid day</x:v>
      </x:c>
      <x:c r="D7" s="216" t="n">
        <x:v>0.22</x:v>
      </x:c>
      <x:c r="E7" s="217" t="n">
        <x:f>D7*I7</x:f>
        <x:v>0.22</x:v>
      </x:c>
      <x:c r="F7" s="217" t="n">
        <x:f>E7*Settings!$B$6</x:f>
        <x:v>46.2</x:v>
      </x:c>
      <x:c r="G7" s="217" t="n">
        <x:f>F7*Settings!$B$7</x:f>
        <x:v>2587.2000000000003</x:v>
      </x:c>
      <x:c r="H7" s="167" t="str">
        <x:v>M3: v2 simulation price, not a quote from F1/F2 or canon.</x:v>
      </x:c>
      <x:c r="I7" s="125" t="n">
        <x:v>1</x:v>
      </x:c>
      <x:c r="J7" s="219" t="n">
        <x:v>0.011666666666666665</x:v>
      </x:c>
      <x:c r="K7" s="220" t="n">
        <x:f>IF(J7=0,0,E7/J7)</x:f>
        <x:v>18.857142857142858</x:v>
      </x:c>
    </x:row>
    <x:row r="8" ht="40" customHeight="1">
      <x:c r="A8" s="167" t="str">
        <x:v>Food</x:v>
      </x:c>
      <x:c r="B8" s="167" t="str">
        <x:v>Wheat</x:v>
      </x:c>
      <x:c r="C8" s="167" t="str">
        <x:v>bushel</x:v>
      </x:c>
      <x:c r="D8" s="216" t="n">
        <x:v>0.15</x:v>
      </x:c>
      <x:c r="E8" s="217" t="n">
        <x:f>D8*I8</x:f>
        <x:v>0.15</x:v>
      </x:c>
      <x:c r="F8" s="217" t="n">
        <x:f>E8*Settings!$B$6</x:f>
        <x:v>31.5</x:v>
      </x:c>
      <x:c r="G8" s="217" t="n">
        <x:f>F8*Settings!$B$7</x:f>
        <x:v>1764</x:v>
      </x:c>
      <x:c r="H8" s="167" t="str">
        <x:v>M3: v2 simulation price, not a quote from F1/F2 or canon.</x:v>
      </x:c>
      <x:c r="I8" s="125" t="n">
        <x:v>1</x:v>
      </x:c>
      <x:c r="J8" s="219" t="n">
        <x:v>0.011666666666666665</x:v>
      </x:c>
      <x:c r="K8" s="220" t="n">
        <x:f>IF(J8=0,0,E8/J8)</x:f>
        <x:v>12.857142857142858</x:v>
      </x:c>
    </x:row>
    <x:row r="9" ht="40" customHeight="1">
      <x:c r="A9" s="167" t="str">
        <x:v>Food</x:v>
      </x:c>
      <x:c r="B9" s="167" t="str">
        <x:v>Barley</x:v>
      </x:c>
      <x:c r="C9" s="167" t="str">
        <x:v>bushel</x:v>
      </x:c>
      <x:c r="D9" s="216" t="n">
        <x:v>0.11</x:v>
      </x:c>
      <x:c r="E9" s="217" t="n">
        <x:f>D9*I9</x:f>
        <x:v>0.11</x:v>
      </x:c>
      <x:c r="F9" s="217" t="n">
        <x:f>E9*Settings!$B$6</x:f>
        <x:v>23.1</x:v>
      </x:c>
      <x:c r="G9" s="217" t="n">
        <x:f>F9*Settings!$B$7</x:f>
        <x:v>1293.6000000000001</x:v>
      </x:c>
      <x:c r="H9" s="167" t="str">
        <x:v>M3: v2 simulation price, not a quote from F1/F2 or canon.</x:v>
      </x:c>
      <x:c r="I9" s="125" t="n">
        <x:v>1</x:v>
      </x:c>
      <x:c r="J9" s="219" t="n">
        <x:v>0.008666666666666666</x:v>
      </x:c>
      <x:c r="K9" s="220" t="n">
        <x:f>IF(J9=0,0,E9/J9)</x:f>
        <x:v>12.692307692307693</x:v>
      </x:c>
    </x:row>
    <x:row r="10" ht="40" customHeight="1">
      <x:c r="A10" s="167" t="str">
        <x:v>Food</x:v>
      </x:c>
      <x:c r="B10" s="167" t="str">
        <x:v>Rye</x:v>
      </x:c>
      <x:c r="C10" s="167" t="str">
        <x:v>bushel</x:v>
      </x:c>
      <x:c r="D10" s="216" t="n">
        <x:v>0.1</x:v>
      </x:c>
      <x:c r="E10" s="217" t="n">
        <x:f>D10*I10</x:f>
        <x:v>0.1</x:v>
      </x:c>
      <x:c r="F10" s="217" t="n">
        <x:f>E10*Settings!$B$6</x:f>
        <x:v>21</x:v>
      </x:c>
      <x:c r="G10" s="217" t="n">
        <x:f>F10*Settings!$B$7</x:f>
        <x:v>1176</x:v>
      </x:c>
      <x:c r="H10" s="167" t="str">
        <x:v>M3: v2 simulation price, not a quote from F1/F2 or canon.</x:v>
      </x:c>
      <x:c r="I10" s="125" t="n">
        <x:v>1</x:v>
      </x:c>
      <x:c r="J10" s="219" t="n">
        <x:v>0.007666666666666667</x:v>
      </x:c>
      <x:c r="K10" s="220" t="n">
        <x:f>IF(J10=0,0,E10/J10)</x:f>
        <x:v>13.043478260869565</x:v>
      </x:c>
    </x:row>
    <x:row r="11" ht="40" customHeight="1">
      <x:c r="A11" s="167" t="str">
        <x:v>Food</x:v>
      </x:c>
      <x:c r="B11" s="167" t="str">
        <x:v>Oats</x:v>
      </x:c>
      <x:c r="C11" s="167" t="str">
        <x:v>bushel</x:v>
      </x:c>
      <x:c r="D11" s="216" t="n">
        <x:v>0.08</x:v>
      </x:c>
      <x:c r="E11" s="217" t="n">
        <x:f>D11*I11</x:f>
        <x:v>0.08</x:v>
      </x:c>
      <x:c r="F11" s="217" t="n">
        <x:f>E11*Settings!$B$6</x:f>
        <x:v>16.8</x:v>
      </x:c>
      <x:c r="G11" s="217" t="n">
        <x:f>F11*Settings!$B$7</x:f>
        <x:v>940.8000000000001</x:v>
      </x:c>
      <x:c r="H11" s="167" t="str">
        <x:v>M3: v2 simulation price, not a quote from F1/F2 or canon.</x:v>
      </x:c>
      <x:c r="I11" s="125" t="n">
        <x:v>1</x:v>
      </x:c>
      <x:c r="J11" s="219" t="n">
        <x:v>0.006</x:v>
      </x:c>
      <x:c r="K11" s="220" t="n">
        <x:f>IF(J11=0,0,E11/J11)</x:f>
        <x:v>13.333333333333334</x:v>
      </x:c>
    </x:row>
    <x:row r="12" ht="40" customHeight="1">
      <x:c r="A12" s="167" t="str">
        <x:v>Food</x:v>
      </x:c>
      <x:c r="B12" s="167" t="str">
        <x:v>Peas, dried</x:v>
      </x:c>
      <x:c r="C12" s="167" t="str">
        <x:v>bushel</x:v>
      </x:c>
      <x:c r="D12" s="216" t="n">
        <x:v>0.14</x:v>
      </x:c>
      <x:c r="E12" s="217" t="n">
        <x:f>D12*I12</x:f>
        <x:v>0.14</x:v>
      </x:c>
      <x:c r="F12" s="217" t="n">
        <x:f>E12*Settings!$B$6</x:f>
        <x:v>29.400000000000002</x:v>
      </x:c>
      <x:c r="G12" s="217" t="n">
        <x:f>F12*Settings!$B$7</x:f>
        <x:v>1646.4</x:v>
      </x:c>
      <x:c r="H12" s="167" t="str">
        <x:v>M3: v2 simulation price, not a quote from F1/F2 or canon.</x:v>
      </x:c>
      <x:c r="I12" s="125" t="n">
        <x:v>1</x:v>
      </x:c>
      <x:c r="J12" s="219" t="n">
        <x:v>0.009666666666666665</x:v>
      </x:c>
      <x:c r="K12" s="220" t="n">
        <x:f>IF(J12=0,0,E12/J12)</x:f>
        <x:v>14.482758620689658</x:v>
      </x:c>
    </x:row>
    <x:row r="13" ht="40" customHeight="1">
      <x:c r="A13" s="167" t="str">
        <x:v>Food</x:v>
      </x:c>
      <x:c r="B13" s="167" t="str">
        <x:v>Coarse bread</x:v>
      </x:c>
      <x:c r="C13" s="167" t="str">
        <x:v>loaf</x:v>
      </x:c>
      <x:c r="D13" s="216" t="n">
        <x:v>0.002</x:v>
      </x:c>
      <x:c r="E13" s="217" t="n">
        <x:f>D13*I13</x:f>
        <x:v>0.002</x:v>
      </x:c>
      <x:c r="F13" s="217" t="n">
        <x:f>E13*Settings!$B$6</x:f>
        <x:v>0.42</x:v>
      </x:c>
      <x:c r="G13" s="217" t="n">
        <x:f>F13*Settings!$B$7</x:f>
        <x:v>23.52</x:v>
      </x:c>
      <x:c r="H13" s="167" t="str">
        <x:v>M3: v2 simulation price, not a quote from F1/F2 or canon.</x:v>
      </x:c>
      <x:c r="I13" s="125" t="n">
        <x:v>1</x:v>
      </x:c>
      <x:c r="J13" s="219" t="n">
        <x:v>0.0002</x:v>
      </x:c>
      <x:c r="K13" s="220" t="n">
        <x:f>IF(J13=0,0,E13/J13)</x:f>
        <x:v>10</x:v>
      </x:c>
    </x:row>
    <x:row r="14" ht="40" customHeight="1">
      <x:c r="A14" s="167" t="str">
        <x:v>Food</x:v>
      </x:c>
      <x:c r="B14" s="167" t="str">
        <x:v>Ordinary ale</x:v>
      </x:c>
      <x:c r="C14" s="167" t="str">
        <x:v>gallon</x:v>
      </x:c>
      <x:c r="D14" s="216" t="n">
        <x:v>0.025</x:v>
      </x:c>
      <x:c r="E14" s="217" t="n">
        <x:f>D14*I14</x:f>
        <x:v>0.025</x:v>
      </x:c>
      <x:c r="F14" s="217" t="n">
        <x:f>E14*Settings!$B$6</x:f>
        <x:v>5.25</x:v>
      </x:c>
      <x:c r="G14" s="217" t="n">
        <x:f>F14*Settings!$B$7</x:f>
        <x:v>294</x:v>
      </x:c>
      <x:c r="H14" s="167" t="str">
        <x:v>M3: v2 simulation price, not a quote from F1/F2 or canon.</x:v>
      </x:c>
      <x:c r="I14" s="125" t="n">
        <x:v>1</x:v>
      </x:c>
      <x:c r="J14" s="219" t="n">
        <x:v>0.0019666666666666665</x:v>
      </x:c>
      <x:c r="K14" s="220" t="n">
        <x:f>IF(J14=0,0,E14/J14)</x:f>
        <x:v>12.711864406779663</x:v>
      </x:c>
    </x:row>
    <x:row r="15" ht="40" customHeight="1">
      <x:c r="A15" s="167" t="str">
        <x:v>Food</x:v>
      </x:c>
      <x:c r="B15" s="167" t="str">
        <x:v>Common wine</x:v>
      </x:c>
      <x:c r="C15" s="167" t="str">
        <x:v>gallon</x:v>
      </x:c>
      <x:c r="D15" s="216" t="n">
        <x:v>0.12</x:v>
      </x:c>
      <x:c r="E15" s="217" t="n">
        <x:f>D15*I15</x:f>
        <x:v>0.12</x:v>
      </x:c>
      <x:c r="F15" s="217" t="n">
        <x:f>E15*Settings!$B$6</x:f>
        <x:v>25.2</x:v>
      </x:c>
      <x:c r="G15" s="217" t="n">
        <x:f>F15*Settings!$B$7</x:f>
        <x:v>1411.2</x:v>
      </x:c>
      <x:c r="H15" s="167" t="str">
        <x:v>M3: v2 simulation price, not a quote from F1/F2 or canon.</x:v>
      </x:c>
      <x:c r="I15" s="125" t="n">
        <x:v>1</x:v>
      </x:c>
      <x:c r="J15" s="219" t="n">
        <x:v>0.006666666666666667</x:v>
      </x:c>
      <x:c r="K15" s="220" t="n">
        <x:f>IF(J15=0,0,E15/J15)</x:f>
        <x:v>17.999999999999996</x:v>
      </x:c>
    </x:row>
    <x:row r="16" ht="40" customHeight="1">
      <x:c r="A16" s="167" t="str">
        <x:v>Food</x:v>
      </x:c>
      <x:c r="B16" s="167" t="str">
        <x:v>Dornish / Arbor wine</x:v>
      </x:c>
      <x:c r="C16" s="167" t="str">
        <x:v>gallon</x:v>
      </x:c>
      <x:c r="D16" s="216" t="n">
        <x:v>0.6</x:v>
      </x:c>
      <x:c r="E16" s="217" t="n">
        <x:f>D16*I16</x:f>
        <x:v>0.6</x:v>
      </x:c>
      <x:c r="F16" s="217" t="n">
        <x:f>E16*Settings!$B$6</x:f>
        <x:v>126</x:v>
      </x:c>
      <x:c r="G16" s="217" t="n">
        <x:f>F16*Settings!$B$7</x:f>
        <x:v>7056</x:v>
      </x:c>
      <x:c r="H16" s="167" t="str">
        <x:v>M3: v2 simulation price, not a quote from F1/F2 or canon.</x:v>
      </x:c>
      <x:c r="I16" s="125" t="n">
        <x:v>1</x:v>
      </x:c>
      <x:c r="J16" s="219" t="n">
        <x:v>0.02333333333333333</x:v>
      </x:c>
      <x:c r="K16" s="220" t="n">
        <x:f>IF(J16=0,0,E16/J16)</x:f>
        <x:v>25.714285714285715</x:v>
      </x:c>
    </x:row>
    <x:row r="17" ht="40" customHeight="1">
      <x:c r="A17" s="167" t="str">
        <x:v>Livestock</x:v>
      </x:c>
      <x:c r="B17" s="167" t="str">
        <x:v>Cow</x:v>
      </x:c>
      <x:c r="C17" s="167" t="str">
        <x:v>animal</x:v>
      </x:c>
      <x:c r="D17" s="216" t="n">
        <x:v>8</x:v>
      </x:c>
      <x:c r="E17" s="217" t="n">
        <x:f>D17*I17</x:f>
        <x:v>8</x:v>
      </x:c>
      <x:c r="F17" s="217" t="n">
        <x:f>E17*Settings!$B$6</x:f>
        <x:v>1680</x:v>
      </x:c>
      <x:c r="G17" s="217" t="n">
        <x:f>F17*Settings!$B$7</x:f>
        <x:v>94080</x:v>
      </x:c>
      <x:c r="H17" s="167" t="str">
        <x:v>M3: v2 simulation price, not a quote from F1/F2 or canon.</x:v>
      </x:c>
      <x:c r="I17" s="125" t="n">
        <x:v>1</x:v>
      </x:c>
      <x:c r="J17" s="219" t="n">
        <x:v>0.16</x:v>
      </x:c>
      <x:c r="K17" s="220" t="n">
        <x:f>IF(J17=0,0,E17/J17)</x:f>
        <x:v>50</x:v>
      </x:c>
    </x:row>
    <x:row r="18" ht="40" customHeight="1">
      <x:c r="A18" s="167" t="str">
        <x:v>Livestock</x:v>
      </x:c>
      <x:c r="B18" s="167" t="str">
        <x:v>Plough ox</x:v>
      </x:c>
      <x:c r="C18" s="167" t="str">
        <x:v>animal</x:v>
      </x:c>
      <x:c r="D18" s="216" t="n">
        <x:v>12</x:v>
      </x:c>
      <x:c r="E18" s="217" t="n">
        <x:f>D18*I18</x:f>
        <x:v>12</x:v>
      </x:c>
      <x:c r="F18" s="217" t="n">
        <x:f>E18*Settings!$B$6</x:f>
        <x:v>2520</x:v>
      </x:c>
      <x:c r="G18" s="217" t="n">
        <x:f>F18*Settings!$B$7</x:f>
        <x:v>141120</x:v>
      </x:c>
      <x:c r="H18" s="167" t="str">
        <x:v>M3: v2 simulation price, not a quote from F1/F2 or canon.</x:v>
      </x:c>
      <x:c r="I18" s="125" t="n">
        <x:v>1</x:v>
      </x:c>
      <x:c r="J18" s="219" t="n">
        <x:v>0.21666666666666667</x:v>
      </x:c>
      <x:c r="K18" s="220" t="n">
        <x:f>IF(J18=0,0,E18/J18)</x:f>
        <x:v>55.38461538461538</x:v>
      </x:c>
    </x:row>
    <x:row r="19" ht="40" customHeight="1">
      <x:c r="A19" s="167" t="str">
        <x:v>Livestock</x:v>
      </x:c>
      <x:c r="B19" s="167" t="str">
        <x:v>Pig</x:v>
      </x:c>
      <x:c r="C19" s="167" t="str">
        <x:v>animal</x:v>
      </x:c>
      <x:c r="D19" s="216" t="n">
        <x:v>2.5</x:v>
      </x:c>
      <x:c r="E19" s="217" t="n">
        <x:f>D19*I19</x:f>
        <x:v>2.5</x:v>
      </x:c>
      <x:c r="F19" s="217" t="n">
        <x:f>E19*Settings!$B$6</x:f>
        <x:v>525</x:v>
      </x:c>
      <x:c r="G19" s="217" t="n">
        <x:f>F19*Settings!$B$7</x:f>
        <x:v>29400</x:v>
      </x:c>
      <x:c r="H19" s="167" t="str">
        <x:v>M3: v2 simulation price, not a quote from F1/F2 or canon.</x:v>
      </x:c>
      <x:c r="I19" s="125" t="n">
        <x:v>1</x:v>
      </x:c>
      <x:c r="J19" s="219" t="n">
        <x:v>0.048666666666666664</x:v>
      </x:c>
      <x:c r="K19" s="220" t="n">
        <x:f>IF(J19=0,0,E19/J19)</x:f>
        <x:v>51.369863013698634</x:v>
      </x:c>
    </x:row>
    <x:row r="20" ht="40" customHeight="1">
      <x:c r="A20" s="167" t="str">
        <x:v>Livestock</x:v>
      </x:c>
      <x:c r="B20" s="167" t="str">
        <x:v>Ewe</x:v>
      </x:c>
      <x:c r="C20" s="167" t="str">
        <x:v>animal</x:v>
      </x:c>
      <x:c r="D20" s="216" t="n">
        <x:v>1.2</x:v>
      </x:c>
      <x:c r="E20" s="217" t="n">
        <x:f>D20*I20</x:f>
        <x:v>1.2</x:v>
      </x:c>
      <x:c r="F20" s="217" t="n">
        <x:f>E20*Settings!$B$6</x:f>
        <x:v>252</x:v>
      </x:c>
      <x:c r="G20" s="217" t="n">
        <x:f>F20*Settings!$B$7</x:f>
        <x:v>14112</x:v>
      </x:c>
      <x:c r="H20" s="167" t="str">
        <x:v>M3: v2 simulation price, not a quote from F1/F2 or canon.</x:v>
      </x:c>
      <x:c r="I20" s="125" t="n">
        <x:v>1</x:v>
      </x:c>
      <x:c r="J20" s="219" t="n">
        <x:v>0.020666666666666667</x:v>
      </x:c>
      <x:c r="K20" s="220" t="n">
        <x:f>IF(J20=0,0,E20/J20)</x:f>
        <x:v>58.064516129032256</x:v>
      </x:c>
    </x:row>
    <x:row r="21" ht="40" customHeight="1">
      <x:c r="A21" s="167" t="str">
        <x:v>Materials</x:v>
      </x:c>
      <x:c r="B21" s="167" t="str">
        <x:v>Iron</x:v>
      </x:c>
      <x:c r="C21" s="167" t="str">
        <x:v>hundredweight</x:v>
      </x:c>
      <x:c r="D21" s="216" t="n">
        <x:v>4</x:v>
      </x:c>
      <x:c r="E21" s="217" t="n">
        <x:f>D21*I21</x:f>
        <x:v>4</x:v>
      </x:c>
      <x:c r="F21" s="217" t="n">
        <x:f>E21*Settings!$B$6</x:f>
        <x:v>840</x:v>
      </x:c>
      <x:c r="G21" s="217" t="n">
        <x:f>F21*Settings!$B$7</x:f>
        <x:v>47040</x:v>
      </x:c>
      <x:c r="H21" s="167" t="str">
        <x:v>M3: v2 simulation price, not a quote from F1/F2 or canon.</x:v>
      </x:c>
      <x:c r="I21" s="125" t="n">
        <x:v>1</x:v>
      </x:c>
      <x:c r="J21" s="219" t="n">
        <x:v>0.04</x:v>
      </x:c>
      <x:c r="K21" s="220" t="n">
        <x:f>IF(J21=0,0,E21/J21)</x:f>
        <x:v>100</x:v>
      </x:c>
    </x:row>
    <x:row r="22" ht="40" customHeight="1">
      <x:c r="A22" s="167" t="str">
        <x:v>Materials</x:v>
      </x:c>
      <x:c r="B22" s="167" t="str">
        <x:v>Sawn timber</x:v>
      </x:c>
      <x:c r="C22" s="167" t="str">
        <x:v>100 board feet</x:v>
      </x:c>
      <x:c r="D22" s="216" t="n">
        <x:v>1.8</x:v>
      </x:c>
      <x:c r="E22" s="217" t="n">
        <x:f>D22*I22</x:f>
        <x:v>1.8</x:v>
      </x:c>
      <x:c r="F22" s="217" t="n">
        <x:f>E22*Settings!$B$6</x:f>
        <x:v>378</x:v>
      </x:c>
      <x:c r="G22" s="217" t="n">
        <x:f>F22*Settings!$B$7</x:f>
        <x:v>21168</x:v>
      </x:c>
      <x:c r="H22" s="167" t="str">
        <x:v>M3: v2 simulation price, not a quote from F1/F2 or canon.</x:v>
      </x:c>
      <x:c r="I22" s="125" t="n">
        <x:v>1</x:v>
      </x:c>
      <x:c r="J22" s="219" t="n">
        <x:v>0.030000000000000002</x:v>
      </x:c>
      <x:c r="K22" s="220" t="n">
        <x:f>IF(J22=0,0,E22/J22)</x:f>
        <x:v>60</x:v>
      </x:c>
    </x:row>
    <x:row r="23" ht="40" customHeight="1">
      <x:c r="A23" s="167" t="str">
        <x:v>Arms</x:v>
      </x:c>
      <x:c r="B23" s="167" t="str">
        <x:v>Spear</x:v>
      </x:c>
      <x:c r="C23" s="167" t="str">
        <x:v>weapon</x:v>
      </x:c>
      <x:c r="D23" s="216" t="n">
        <x:v>0.4</x:v>
      </x:c>
      <x:c r="E23" s="217" t="n">
        <x:f>D23*I23</x:f>
        <x:v>0.4</x:v>
      </x:c>
      <x:c r="F23" s="217" t="n">
        <x:f>E23*Settings!$B$6</x:f>
        <x:v>84</x:v>
      </x:c>
      <x:c r="G23" s="217" t="n">
        <x:f>F23*Settings!$B$7</x:f>
        <x:v>4704</x:v>
      </x:c>
      <x:c r="H23" s="167" t="str">
        <x:v>M3: v2 simulation price, not a quote from F1/F2 or canon.</x:v>
      </x:c>
      <x:c r="I23" s="125" t="n">
        <x:v>1</x:v>
      </x:c>
      <x:c r="J23" s="219" t="n">
        <x:v>0.02</x:v>
      </x:c>
      <x:c r="K23" s="220" t="n">
        <x:f>IF(J23=0,0,E23/J23)</x:f>
        <x:v>20</x:v>
      </x:c>
    </x:row>
    <x:row r="24" ht="40" customHeight="1">
      <x:c r="A24" s="167" t="str">
        <x:v>Arms</x:v>
      </x:c>
      <x:c r="B24" s="167" t="str">
        <x:v>Gambeson</x:v>
      </x:c>
      <x:c r="C24" s="167" t="str">
        <x:v>piece</x:v>
      </x:c>
      <x:c r="D24" s="216" t="n">
        <x:v>1.5</x:v>
      </x:c>
      <x:c r="E24" s="217" t="n">
        <x:f>D24*I24</x:f>
        <x:v>1.5</x:v>
      </x:c>
      <x:c r="F24" s="217" t="n">
        <x:f>E24*Settings!$B$6</x:f>
        <x:v>315</x:v>
      </x:c>
      <x:c r="G24" s="217" t="n">
        <x:f>F24*Settings!$B$7</x:f>
        <x:v>17640</x:v>
      </x:c>
      <x:c r="H24" s="167" t="str">
        <x:v>M3: v2 simulation price, not a quote from F1/F2 or canon.</x:v>
      </x:c>
      <x:c r="I24" s="125" t="n">
        <x:v>1</x:v>
      </x:c>
      <x:c r="J24" s="219" t="n">
        <x:v>0.05</x:v>
      </x:c>
      <x:c r="K24" s="220" t="n">
        <x:f>IF(J24=0,0,E24/J24)</x:f>
        <x:v>30</x:v>
      </x:c>
    </x:row>
    <x:row r="25" ht="40" customHeight="1">
      <x:c r="A25" s="167" t="str">
        <x:v>Arms</x:v>
      </x:c>
      <x:c r="B25" s="167" t="str">
        <x:v>Mail hauberk</x:v>
      </x:c>
      <x:c r="C25" s="167" t="str">
        <x:v>piece</x:v>
      </x:c>
      <x:c r="D25" s="216" t="n">
        <x:v>30</x:v>
      </x:c>
      <x:c r="E25" s="217" t="n">
        <x:f>D25*I25</x:f>
        <x:v>30</x:v>
      </x:c>
      <x:c r="F25" s="217" t="n">
        <x:f>E25*Settings!$B$6</x:f>
        <x:v>6300</x:v>
      </x:c>
      <x:c r="G25" s="217" t="n">
        <x:f>F25*Settings!$B$7</x:f>
        <x:v>352800</x:v>
      </x:c>
      <x:c r="H25" s="167" t="str">
        <x:v>M3: v2 simulation price, not a quote from F1/F2 or canon.</x:v>
      </x:c>
      <x:c r="I25" s="125" t="n">
        <x:v>1</x:v>
      </x:c>
      <x:c r="J25" s="219" t="n">
        <x:v>1.5</x:v>
      </x:c>
      <x:c r="K25" s="220" t="n">
        <x:f>IF(J25=0,0,E25/J25)</x:f>
        <x:v>20</x:v>
      </x:c>
    </x:row>
    <x:row r="26" ht="40" customHeight="1">
      <x:c r="A26" s="167" t="str">
        <x:v>Arms</x:v>
      </x:c>
      <x:c r="B26" s="167" t="str">
        <x:v>Full plate harness</x:v>
      </x:c>
      <x:c r="C26" s="167" t="str">
        <x:v>piece</x:v>
      </x:c>
      <x:c r="D26" s="216" t="n">
        <x:v>120</x:v>
      </x:c>
      <x:c r="E26" s="217" t="n">
        <x:f>D26*I26</x:f>
        <x:v>120</x:v>
      </x:c>
      <x:c r="F26" s="217" t="n">
        <x:f>E26*Settings!$B$6</x:f>
        <x:v>25200</x:v>
      </x:c>
      <x:c r="G26" s="217" t="n">
        <x:f>F26*Settings!$B$7</x:f>
        <x:v>1411200</x:v>
      </x:c>
      <x:c r="H26" s="167" t="str">
        <x:v>M3: v2 simulation price, not a quote from F1/F2 or canon.</x:v>
      </x:c>
      <x:c r="I26" s="125" t="n">
        <x:v>1</x:v>
      </x:c>
      <x:c r="J26" s="219" t="n">
        <x:v>6</x:v>
      </x:c>
      <x:c r="K26" s="220" t="n">
        <x:f>IF(J26=0,0,E26/J26)</x:f>
        <x:v>20</x:v>
      </x:c>
    </x:row>
    <x:row r="27" ht="40" customHeight="1">
      <x:c r="A27" s="167" t="str">
        <x:v>Horses</x:v>
      </x:c>
      <x:c r="B27" s="167" t="str">
        <x:v>Pack mule</x:v>
      </x:c>
      <x:c r="C27" s="167" t="str">
        <x:v>animal</x:v>
      </x:c>
      <x:c r="D27" s="216" t="n">
        <x:v>6</x:v>
      </x:c>
      <x:c r="E27" s="217" t="n">
        <x:f>D27*I27</x:f>
        <x:v>6</x:v>
      </x:c>
      <x:c r="F27" s="217" t="n">
        <x:f>E27*Settings!$B$6</x:f>
        <x:v>1260</x:v>
      </x:c>
      <x:c r="G27" s="217" t="n">
        <x:f>F27*Settings!$B$7</x:f>
        <x:v>70560</x:v>
      </x:c>
      <x:c r="H27" s="167" t="str">
        <x:v>M3: v2 simulation price, not a quote from F1/F2 or canon.</x:v>
      </x:c>
      <x:c r="I27" s="125" t="n">
        <x:v>1</x:v>
      </x:c>
      <x:c r="J27" s="219" t="n">
        <x:v>0.2</x:v>
      </x:c>
      <x:c r="K27" s="220" t="n">
        <x:f>IF(J27=0,0,E27/J27)</x:f>
        <x:v>30</x:v>
      </x:c>
    </x:row>
    <x:row r="28" ht="40" customHeight="1">
      <x:c r="A28" s="167" t="str">
        <x:v>Horses</x:v>
      </x:c>
      <x:c r="B28" s="167" t="str">
        <x:v>Rouncey</x:v>
      </x:c>
      <x:c r="C28" s="167" t="str">
        <x:v>animal</x:v>
      </x:c>
      <x:c r="D28" s="216" t="n">
        <x:v>25</x:v>
      </x:c>
      <x:c r="E28" s="217" t="n">
        <x:f>D28*I28</x:f>
        <x:v>25</x:v>
      </x:c>
      <x:c r="F28" s="217" t="n">
        <x:f>E28*Settings!$B$6</x:f>
        <x:v>5250</x:v>
      </x:c>
      <x:c r="G28" s="217" t="n">
        <x:f>F28*Settings!$B$7</x:f>
        <x:v>294000</x:v>
      </x:c>
      <x:c r="H28" s="167" t="str">
        <x:v>M3: v2 simulation price, not a quote from F1/F2 or canon.</x:v>
      </x:c>
      <x:c r="I28" s="125" t="n">
        <x:v>1</x:v>
      </x:c>
      <x:c r="J28" s="219" t="n">
        <x:v>1.3333333333333333</x:v>
      </x:c>
      <x:c r="K28" s="220" t="n">
        <x:f>IF(J28=0,0,E28/J28)</x:f>
        <x:v>18.75</x:v>
      </x:c>
    </x:row>
    <x:row r="29" ht="40" customHeight="1">
      <x:c r="A29" s="167" t="str">
        <x:v>Horses</x:v>
      </x:c>
      <x:c r="B29" s="167" t="str">
        <x:v>Courser</x:v>
      </x:c>
      <x:c r="C29" s="167" t="str">
        <x:v>animal</x:v>
      </x:c>
      <x:c r="D29" s="216" t="n">
        <x:v>140</x:v>
      </x:c>
      <x:c r="E29" s="217" t="n">
        <x:f>D29*I29</x:f>
        <x:v>140</x:v>
      </x:c>
      <x:c r="F29" s="217" t="n">
        <x:f>E29*Settings!$B$6</x:f>
        <x:v>29400</x:v>
      </x:c>
      <x:c r="G29" s="217" t="n">
        <x:f>F29*Settings!$B$7</x:f>
        <x:v>1646400</x:v>
      </x:c>
      <x:c r="H29" s="167" t="str">
        <x:v>M3: v2 simulation price, not a quote from F1/F2 or canon.</x:v>
      </x:c>
      <x:c r="I29" s="125" t="n">
        <x:v>1</x:v>
      </x:c>
      <x:c r="J29" s="219" t="n">
        <x:v>14</x:v>
      </x:c>
      <x:c r="K29" s="220" t="n">
        <x:f>IF(J29=0,0,E29/J29)</x:f>
        <x:v>10</x:v>
      </x:c>
    </x:row>
    <x:row r="30" ht="40" customHeight="1">
      <x:c r="A30" s="167" t="str">
        <x:v>Horses</x:v>
      </x:c>
      <x:c r="B30" s="167" t="str">
        <x:v>Destrier</x:v>
      </x:c>
      <x:c r="C30" s="167" t="str">
        <x:v>animal</x:v>
      </x:c>
      <x:c r="D30" s="216" t="n">
        <x:v>300</x:v>
      </x:c>
      <x:c r="E30" s="217" t="n">
        <x:f>D30*I30</x:f>
        <x:v>300</x:v>
      </x:c>
      <x:c r="F30" s="217" t="n">
        <x:f>E30*Settings!$B$6</x:f>
        <x:v>63000</x:v>
      </x:c>
      <x:c r="G30" s="217" t="n">
        <x:f>F30*Settings!$B$7</x:f>
        <x:v>3528000</x:v>
      </x:c>
      <x:c r="H30" s="167" t="str">
        <x:v>M3: v2 simulation price, not a quote from F1/F2 or canon.</x:v>
      </x:c>
      <x:c r="I30" s="125" t="n">
        <x:v>1</x:v>
      </x:c>
      <x:c r="J30" s="219" t="n">
        <x:v>30</x:v>
      </x:c>
      <x:c r="K30" s="220" t="n">
        <x:f>IF(J30=0,0,E30/J30)</x:f>
        <x:v>10</x:v>
      </x:c>
    </x:row>
    <x:row r="31" ht="40" customHeight="1">
      <x:c r="A31" s="167" t="str">
        <x:v>Military</x:v>
      </x:c>
      <x:c r="B31" s="167" t="str">
        <x:v>Levied foot cash wage</x:v>
      </x:c>
      <x:c r="C31" s="167" t="str">
        <x:v>paid day</x:v>
      </x:c>
      <x:c r="D31" s="216" t="n">
        <x:v>0.06</x:v>
      </x:c>
      <x:c r="E31" s="217" t="n">
        <x:f>D31*I31</x:f>
        <x:v>0.06</x:v>
      </x:c>
      <x:c r="F31" s="217" t="n">
        <x:f>E31*Settings!$B$6</x:f>
        <x:v>12.6</x:v>
      </x:c>
      <x:c r="G31" s="217" t="n">
        <x:f>F31*Settings!$B$7</x:f>
        <x:v>705.6</x:v>
      </x:c>
      <x:c r="H31" s="167" t="str">
        <x:v>M3: v2 simulation price, not a quote from F1/F2 or canon.</x:v>
      </x:c>
      <x:c r="I31" s="125" t="n">
        <x:v>1</x:v>
      </x:c>
      <x:c r="J31" s="219" t="n">
        <x:v>0.0039000000000000003</x:v>
      </x:c>
      <x:c r="K31" s="220" t="n">
        <x:f>IF(J31=0,0,E31/J31)</x:f>
        <x:v>15.384615384615383</x:v>
      </x:c>
    </x:row>
    <x:row r="32" ht="40" customHeight="1">
      <x:c r="A32" s="167" t="str">
        <x:v>Military</x:v>
      </x:c>
      <x:c r="B32" s="167" t="str">
        <x:v>Archer cash wage</x:v>
      </x:c>
      <x:c r="C32" s="167" t="str">
        <x:v>paid day</x:v>
      </x:c>
      <x:c r="D32" s="216" t="n">
        <x:v>0.09</x:v>
      </x:c>
      <x:c r="E32" s="217" t="n">
        <x:f>D32*I32</x:f>
        <x:v>0.09</x:v>
      </x:c>
      <x:c r="F32" s="217" t="n">
        <x:f>E32*Settings!$B$6</x:f>
        <x:v>18.9</x:v>
      </x:c>
      <x:c r="G32" s="217" t="n">
        <x:f>F32*Settings!$B$7</x:f>
        <x:v>1058.3999999999999</x:v>
      </x:c>
      <x:c r="H32" s="167" t="str">
        <x:v>M3: v2 simulation price, not a quote from F1/F2 or canon.</x:v>
      </x:c>
      <x:c r="I32" s="125" t="n">
        <x:v>1</x:v>
      </x:c>
      <x:c r="J32" s="219" t="n">
        <x:v>0.005866666666666667</x:v>
      </x:c>
      <x:c r="K32" s="220" t="n">
        <x:f>IF(J32=0,0,E32/J32)</x:f>
        <x:v>15.34090909090909</x:v>
      </x:c>
    </x:row>
    <x:row r="33" ht="40" customHeight="1">
      <x:c r="A33" s="167" t="str">
        <x:v>Military</x:v>
      </x:c>
      <x:c r="B33" s="167" t="str">
        <x:v>Mounted sergeant cash wage</x:v>
      </x:c>
      <x:c r="C33" s="167" t="str">
        <x:v>paid day</x:v>
      </x:c>
      <x:c r="D33" s="216" t="n">
        <x:v>0.35</x:v>
      </x:c>
      <x:c r="E33" s="217" t="n">
        <x:f>D33*I33</x:f>
        <x:v>0.35</x:v>
      </x:c>
      <x:c r="F33" s="217" t="n">
        <x:f>E33*Settings!$B$6</x:f>
        <x:v>73.5</x:v>
      </x:c>
      <x:c r="G33" s="217" t="n">
        <x:f>F33*Settings!$B$7</x:f>
        <x:v>4116</x:v>
      </x:c>
      <x:c r="H33" s="167" t="str">
        <x:v>M3: v2 simulation price, not a quote from F1/F2 or canon.</x:v>
      </x:c>
      <x:c r="I33" s="125" t="n">
        <x:v>1</x:v>
      </x:c>
      <x:c r="J33" s="219" t="n">
        <x:v>0.02343333333333333</x:v>
      </x:c>
      <x:c r="K33" s="220" t="n">
        <x:f>IF(J33=0,0,E33/J33)</x:f>
        <x:v>14.935988620199147</x:v>
      </x:c>
    </x:row>
    <x:row r="34" ht="40" customHeight="1">
      <x:c r="A34" s="167" t="str">
        <x:v>Military</x:v>
      </x:c>
      <x:c r="B34" s="167" t="str">
        <x:v>Knight cash wage</x:v>
      </x:c>
      <x:c r="C34" s="167" t="str">
        <x:v>paid day</x:v>
      </x:c>
      <x:c r="D34" s="216" t="n">
        <x:v>0.7</x:v>
      </x:c>
      <x:c r="E34" s="217" t="n">
        <x:f>D34*I34</x:f>
        <x:v>0.7</x:v>
      </x:c>
      <x:c r="F34" s="217" t="n">
        <x:f>E34*Settings!$B$6</x:f>
        <x:v>147</x:v>
      </x:c>
      <x:c r="G34" s="217" t="n">
        <x:f>F34*Settings!$B$7</x:f>
        <x:v>8232</x:v>
      </x:c>
      <x:c r="H34" s="167" t="str">
        <x:v>M3: v2 simulation price, not a quote from F1/F2 or canon.</x:v>
      </x:c>
      <x:c r="I34" s="125" t="n">
        <x:v>1</x:v>
      </x:c>
      <x:c r="J34" s="219" t="n">
        <x:v>0.04686666666666666</x:v>
      </x:c>
      <x:c r="K34" s="220" t="n">
        <x:f>IF(J34=0,0,E34/J34)</x:f>
        <x:v>14.935988620199147</x:v>
      </x:c>
    </x:row>
    <x:row r="35" ht="40" customHeight="1">
      <x:c r="A35" s="167" t="str">
        <x:v>Military</x:v>
      </x:c>
      <x:c r="B35" s="167" t="str">
        <x:v>Soldier ration</x:v>
      </x:c>
      <x:c r="C35" s="167" t="str">
        <x:v>person-day</x:v>
      </x:c>
      <x:c r="D35" s="216" t="n">
        <x:v>0.007</x:v>
      </x:c>
      <x:c r="E35" s="217" t="n">
        <x:f>D35*I35</x:f>
        <x:v>0.007</x:v>
      </x:c>
      <x:c r="F35" s="217" t="n">
        <x:f>E35*Settings!$B$6</x:f>
        <x:v>1.47</x:v>
      </x:c>
      <x:c r="G35" s="217" t="n">
        <x:f>F35*Settings!$B$7</x:f>
        <x:v>82.32</x:v>
      </x:c>
      <x:c r="H35" s="167" t="str">
        <x:v>M3: v2 simulation price, not a quote from F1/F2 or canon.</x:v>
      </x:c>
      <x:c r="I35" s="125" t="n">
        <x:v>1</x:v>
      </x:c>
      <x:c r="J35" s="219" t="n">
        <x:v>0.0013</x:v>
      </x:c>
      <x:c r="K35" s="220" t="n">
        <x:f>IF(J35=0,0,E35/J35)</x:f>
        <x:v>5.384615384615385</x:v>
      </x:c>
    </x:row>
    <x:row r="36" ht="40" customHeight="1">
      <x:c r="A36" s="167" t="str">
        <x:v>Military</x:v>
      </x:c>
      <x:c r="B36" s="167" t="str">
        <x:v>Horse fodder</x:v>
      </x:c>
      <x:c r="C36" s="167" t="str">
        <x:v>horse-day</x:v>
      </x:c>
      <x:c r="D36" s="216" t="n">
        <x:v>0.03</x:v>
      </x:c>
      <x:c r="E36" s="217" t="n">
        <x:f>D36*I36</x:f>
        <x:v>0.03</x:v>
      </x:c>
      <x:c r="F36" s="217" t="n">
        <x:f>E36*Settings!$B$6</x:f>
        <x:v>6.3</x:v>
      </x:c>
      <x:c r="G36" s="217" t="n">
        <x:f>F36*Settings!$B$7</x:f>
        <x:v>352.8</x:v>
      </x:c>
      <x:c r="H36" s="167" t="str">
        <x:v>M3: v2 simulation price, not a quote from F1/F2 or canon.</x:v>
      </x:c>
      <x:c r="I36" s="125" t="n">
        <x:v>1</x:v>
      </x:c>
      <x:c r="J36" s="219" t="n">
        <x:v>0.003</x:v>
      </x:c>
      <x:c r="K36" s="220" t="n">
        <x:f>IF(J36=0,0,E36/J36)</x:f>
        <x:v>10</x:v>
      </x:c>
    </x:row>
    <x:row r="37" ht="40" customHeight="1">
      <x:c r="A37" s="167" t="str">
        <x:v>Military</x:v>
      </x:c>
      <x:c r="B37" s="167" t="str">
        <x:v>Foot / archer equipment package</x:v>
      </x:c>
      <x:c r="C37" s="167" t="str">
        <x:v>person</x:v>
      </x:c>
      <x:c r="D37" s="216" t="n">
        <x:v>4</x:v>
      </x:c>
      <x:c r="E37" s="217" t="n">
        <x:f>D37*I37</x:f>
        <x:v>4</x:v>
      </x:c>
      <x:c r="F37" s="217" t="n">
        <x:f>E37*Settings!$B$6</x:f>
        <x:v>840</x:v>
      </x:c>
      <x:c r="G37" s="217" t="n">
        <x:f>F37*Settings!$B$7</x:f>
        <x:v>47040</x:v>
      </x:c>
      <x:c r="H37" s="167" t="str">
        <x:v>M3: v2 simulation price, not a quote from F1/F2 or canon.</x:v>
      </x:c>
      <x:c r="I37" s="125" t="n">
        <x:v>1</x:v>
      </x:c>
      <x:c r="J37" s="219" t="n">
        <x:v>0.13333333333333333</x:v>
      </x:c>
      <x:c r="K37" s="220" t="n">
        <x:f>IF(J37=0,0,E37/J37)</x:f>
        <x:v>30</x:v>
      </x:c>
    </x:row>
    <x:row r="38" ht="40" customHeight="1">
      <x:c r="A38" s="167" t="str">
        <x:v>Military</x:v>
      </x:c>
      <x:c r="B38" s="167" t="str">
        <x:v>Mounted sergeant package</x:v>
      </x:c>
      <x:c r="C38" s="167" t="str">
        <x:v>person</x:v>
      </x:c>
      <x:c r="D38" s="216" t="n">
        <x:v>160</x:v>
      </x:c>
      <x:c r="E38" s="217" t="n">
        <x:f>D38*I38</x:f>
        <x:v>160</x:v>
      </x:c>
      <x:c r="F38" s="217" t="n">
        <x:f>E38*Settings!$B$6</x:f>
        <x:v>33600</x:v>
      </x:c>
      <x:c r="G38" s="217" t="n">
        <x:f>F38*Settings!$B$7</x:f>
        <x:v>1881600</x:v>
      </x:c>
      <x:c r="H38" s="167" t="str">
        <x:v>M3: v2 simulation price, not a quote from F1/F2 or canon.</x:v>
      </x:c>
      <x:c r="I38" s="125" t="n">
        <x:v>1</x:v>
      </x:c>
      <x:c r="J38" s="219" t="n">
        <x:v>8</x:v>
      </x:c>
      <x:c r="K38" s="220" t="n">
        <x:f>IF(J38=0,0,E38/J38)</x:f>
        <x:v>20</x:v>
      </x:c>
    </x:row>
    <x:row r="39" ht="40" customHeight="1">
      <x:c r="A39" s="167" t="str">
        <x:v>Military</x:v>
      </x:c>
      <x:c r="B39" s="167" t="str">
        <x:v>Knight with mounts package</x:v>
      </x:c>
      <x:c r="C39" s="167" t="str">
        <x:v>person</x:v>
      </x:c>
      <x:c r="D39" s="216" t="n">
        <x:v>600</x:v>
      </x:c>
      <x:c r="E39" s="217" t="n">
        <x:f>D39*I39</x:f>
        <x:v>600</x:v>
      </x:c>
      <x:c r="F39" s="217" t="n">
        <x:f>E39*Settings!$B$6</x:f>
        <x:v>126000</x:v>
      </x:c>
      <x:c r="G39" s="217" t="n">
        <x:f>F39*Settings!$B$7</x:f>
        <x:v>7056000</x:v>
      </x:c>
      <x:c r="H39" s="167" t="str">
        <x:v>M3: v2 simulation price, not a quote from F1/F2 or canon.</x:v>
      </x:c>
      <x:c r="I39" s="125" t="n">
        <x:v>1</x:v>
      </x:c>
      <x:c r="J39" s="219" t="n">
        <x:v>43</x:v>
      </x:c>
      <x:c r="K39" s="220" t="n">
        <x:f>IF(J39=0,0,E39/J39)</x:f>
        <x:v>13.953488372093023</x:v>
      </x:c>
    </x:row>
    <x:row r="40" ht="40" customHeight="1">
      <x:c r="A40" s="167" t="str">
        <x:v>Ships</x:v>
      </x:c>
      <x:c r="B40" s="167" t="str">
        <x:v>Longship hull</x:v>
      </x:c>
      <x:c r="C40" s="167" t="str">
        <x:v>vessel</x:v>
      </x:c>
      <x:c r="D40" s="216" t="n">
        <x:v>1200</x:v>
      </x:c>
      <x:c r="E40" s="217" t="n">
        <x:f>D40*I40</x:f>
        <x:v>1200</x:v>
      </x:c>
      <x:c r="F40" s="217" t="n">
        <x:f>E40*Settings!$B$6</x:f>
        <x:v>252000</x:v>
      </x:c>
      <x:c r="G40" s="217" t="n">
        <x:f>F40*Settings!$B$7</x:f>
        <x:v>14112000</x:v>
      </x:c>
      <x:c r="H40" s="167" t="str">
        <x:v>M3: v2 simulation price, not a quote from F1/F2 or canon.</x:v>
      </x:c>
      <x:c r="I40" s="125" t="n">
        <x:v>1</x:v>
      </x:c>
      <x:c r="J40" s="219" t="n">
        <x:v>108</x:v>
      </x:c>
      <x:c r="K40" s="220" t="n">
        <x:f>IF(J40=0,0,E40/J40)</x:f>
        <x:v>11.11111111111111</x:v>
      </x:c>
    </x:row>
    <x:row r="41" ht="40" customHeight="1">
      <x:c r="A41" s="167" t="str">
        <x:v>Ships</x:v>
      </x:c>
      <x:c r="B41" s="167" t="str">
        <x:v>150-ton merchant cog</x:v>
      </x:c>
      <x:c r="C41" s="167" t="str">
        <x:v>vessel</x:v>
      </x:c>
      <x:c r="D41" s="216" t="n">
        <x:v>2200</x:v>
      </x:c>
      <x:c r="E41" s="217" t="n">
        <x:f>D41*I41</x:f>
        <x:v>2200</x:v>
      </x:c>
      <x:c r="F41" s="217" t="n">
        <x:f>E41*Settings!$B$6</x:f>
        <x:v>462000</x:v>
      </x:c>
      <x:c r="G41" s="217" t="n">
        <x:f>F41*Settings!$B$7</x:f>
        <x:v>25872000</x:v>
      </x:c>
      <x:c r="H41" s="167" t="str">
        <x:v>M3: v2 simulation price, not a quote from F1/F2 or canon.</x:v>
      </x:c>
      <x:c r="I41" s="125" t="n">
        <x:v>1</x:v>
      </x:c>
      <x:c r="J41" s="219" t="n">
        <x:v>144</x:v>
      </x:c>
      <x:c r="K41" s="220" t="n">
        <x:f>IF(J41=0,0,E41/J41)</x:f>
        <x:v>15.277777777777779</x:v>
      </x:c>
    </x:row>
    <x:row r="42" ht="40" customHeight="1">
      <x:c r="A42" s="167" t="str">
        <x:v>Ships</x:v>
      </x:c>
      <x:c r="B42" s="167" t="str">
        <x:v>War galley hull</x:v>
      </x:c>
      <x:c r="C42" s="167" t="str">
        <x:v>vessel</x:v>
      </x:c>
      <x:c r="D42" s="216" t="n">
        <x:v>4500</x:v>
      </x:c>
      <x:c r="E42" s="217" t="n">
        <x:f>D42*I42</x:f>
        <x:v>4500</x:v>
      </x:c>
      <x:c r="F42" s="217" t="n">
        <x:f>E42*Settings!$B$6</x:f>
        <x:v>945000</x:v>
      </x:c>
      <x:c r="G42" s="217" t="n">
        <x:f>F42*Settings!$B$7</x:f>
        <x:v>52920000</x:v>
      </x:c>
      <x:c r="H42" s="167" t="str">
        <x:v>M3: v2 simulation price, not a quote from F1/F2 or canon.</x:v>
      </x:c>
      <x:c r="I42" s="125" t="n">
        <x:v>1</x:v>
      </x:c>
      <x:c r="J42" s="219" t="n">
        <x:v>360</x:v>
      </x:c>
      <x:c r="K42" s="220" t="n">
        <x:f>IF(J42=0,0,E42/J42)</x:f>
        <x:v>12.5</x:v>
      </x:c>
    </x:row>
    <x:row r="43" ht="40" customHeight="1">
      <x:c r="A43" s="167" t="str">
        <x:v>Works</x:v>
      </x:c>
      <x:c r="B43" s="167" t="str">
        <x:v>Village granary / smokehouse</x:v>
      </x:c>
      <x:c r="C43" s="167" t="str">
        <x:v>set</x:v>
      </x:c>
      <x:c r="D43" s="216" t="n">
        <x:v>500</x:v>
      </x:c>
      <x:c r="E43" s="217" t="n">
        <x:f>D43*I43</x:f>
        <x:v>500</x:v>
      </x:c>
      <x:c r="F43" s="217" t="n">
        <x:f>E43*Settings!$B$6</x:f>
        <x:v>105000</x:v>
      </x:c>
      <x:c r="G43" s="217" t="n">
        <x:f>F43*Settings!$B$7</x:f>
        <x:v>5880000</x:v>
      </x:c>
      <x:c r="H43" s="167" t="str">
        <x:v>M3: v2 simulation price, not a quote from F1/F2 or canon.</x:v>
      </x:c>
      <x:c r="I43" s="125" t="n">
        <x:v>1</x:v>
      </x:c>
      <x:c r="J43" s="219" t="n">
        <x:v>20</x:v>
      </x:c>
      <x:c r="K43" s="220" t="n">
        <x:f>IF(J43=0,0,E43/J43)</x:f>
        <x:v>25</x:v>
      </x:c>
    </x:row>
    <x:row r="44" ht="40" customHeight="1">
      <x:c r="A44" s="167" t="str">
        <x:v>Works</x:v>
      </x:c>
      <x:c r="B44" s="167" t="str">
        <x:v>Watermill</x:v>
      </x:c>
      <x:c r="C44" s="167" t="str">
        <x:v>installation</x:v>
      </x:c>
      <x:c r="D44" s="216" t="n">
        <x:v>1800</x:v>
      </x:c>
      <x:c r="E44" s="217" t="n">
        <x:f>D44*I44</x:f>
        <x:v>1800</x:v>
      </x:c>
      <x:c r="F44" s="217" t="n">
        <x:f>E44*Settings!$B$6</x:f>
        <x:v>378000</x:v>
      </x:c>
      <x:c r="G44" s="217" t="n">
        <x:f>F44*Settings!$B$7</x:f>
        <x:v>21168000</x:v>
      </x:c>
      <x:c r="H44" s="167" t="str">
        <x:v>M3: v2 simulation price, not a quote from F1/F2 or canon.</x:v>
      </x:c>
      <x:c r="I44" s="125" t="n">
        <x:v>1</x:v>
      </x:c>
      <x:c r="J44" s="219" t="n">
        <x:v>80</x:v>
      </x:c>
      <x:c r="K44" s="220" t="n">
        <x:f>IF(J44=0,0,E44/J44)</x:f>
        <x:v>22.5</x:v>
      </x:c>
    </x:row>
    <x:row r="45" ht="40" customHeight="1">
      <x:c r="A45" s="167" t="str">
        <x:v>Works</x:v>
      </x:c>
      <x:c r="B45" s="167" t="str">
        <x:v>Functional wharf</x:v>
      </x:c>
      <x:c r="C45" s="167" t="str">
        <x:v>installation</x:v>
      </x:c>
      <x:c r="D45" s="216" t="n">
        <x:v>4500</x:v>
      </x:c>
      <x:c r="E45" s="217" t="n">
        <x:f>D45*I45</x:f>
        <x:v>4500</x:v>
      </x:c>
      <x:c r="F45" s="217" t="n">
        <x:f>E45*Settings!$B$6</x:f>
        <x:v>945000</x:v>
      </x:c>
      <x:c r="G45" s="217" t="n">
        <x:f>F45*Settings!$B$7</x:f>
        <x:v>52920000</x:v>
      </x:c>
      <x:c r="H45" s="167" t="str">
        <x:v>M3: v2 simulation price, not a quote from F1/F2 or canon.</x:v>
      </x:c>
      <x:c r="I45" s="125" t="n">
        <x:v>1</x:v>
      </x:c>
      <x:c r="J45" s="219" t="n">
        <x:v>144</x:v>
      </x:c>
      <x:c r="K45" s="220" t="n">
        <x:f>IF(J45=0,0,E45/J45)</x:f>
        <x:v>31.25</x:v>
      </x:c>
    </x:row>
    <x:row r="46" ht="40" customHeight="1">
      <x:c r="A46" s="167" t="str">
        <x:v>Works</x:v>
      </x:c>
      <x:c r="B46" s="167" t="str">
        <x:v>Stone tower keep</x:v>
      </x:c>
      <x:c r="C46" s="167" t="str">
        <x:v>structure</x:v>
      </x:c>
      <x:c r="D46" s="216" t="n">
        <x:v>22000</x:v>
      </x:c>
      <x:c r="E46" s="217" t="n">
        <x:f>D46*I46</x:f>
        <x:v>22000</x:v>
      </x:c>
      <x:c r="F46" s="217" t="n">
        <x:f>E46*Settings!$B$6</x:f>
        <x:v>4620000</x:v>
      </x:c>
      <x:c r="G46" s="217" t="n">
        <x:f>F46*Settings!$B$7</x:f>
        <x:v>258720000</x:v>
      </x:c>
      <x:c r="H46" s="167" t="str">
        <x:v>M3: v2 simulation price, not a quote from F1/F2 or canon.</x:v>
      </x:c>
      <x:c r="I46" s="125" t="n">
        <x:v>1</x:v>
      </x:c>
      <x:c r="J46" s="219" t="n">
        <x:v>1080</x:v>
      </x:c>
      <x:c r="K46" s="220" t="n">
        <x:f>IF(J46=0,0,E46/J46)</x:f>
        <x:v>20.37037037037037</x:v>
      </x:c>
    </x:row>
    <x:row r="47" ht="40" customHeight="1">
      <x:c r="A47" s="167" t="str">
        <x:v>Works</x:v>
      </x:c>
      <x:c r="B47" s="167" t="str">
        <x:v>Small stone castle</x:v>
      </x:c>
      <x:c r="C47" s="167" t="str">
        <x:v>structure</x:v>
      </x:c>
      <x:c r="D47" s="216" t="n">
        <x:v>75000</x:v>
      </x:c>
      <x:c r="E47" s="217" t="n">
        <x:f>D47*I47</x:f>
        <x:v>75000</x:v>
      </x:c>
      <x:c r="F47" s="217" t="n">
        <x:f>E47*Settings!$B$6</x:f>
        <x:v>15750000</x:v>
      </x:c>
      <x:c r="G47" s="217" t="n">
        <x:f>F47*Settings!$B$7</x:f>
        <x:v>882000000</x:v>
      </x:c>
      <x:c r="H47" s="167" t="str">
        <x:v>M3: v2 simulation price, not a quote from F1/F2 or canon.</x:v>
      </x:c>
      <x:c r="I47" s="125" t="n">
        <x:v>1</x:v>
      </x:c>
      <x:c r="J47" s="219" t="n">
        <x:v>3600</x:v>
      </x:c>
      <x:c r="K47" s="220" t="n">
        <x:f>IF(J47=0,0,E47/J47)</x:f>
        <x:v>20.833333333333332</x:v>
      </x:c>
    </x:row>
    <x:row r="48" ht="40" customHeight="1">
      <x:c r="A48" s="167" t="str">
        <x:v>Works</x:v>
      </x:c>
      <x:c r="B48" s="167" t="str">
        <x:v>Major castle</x:v>
      </x:c>
      <x:c r="C48" s="167" t="str">
        <x:v>structure</x:v>
      </x:c>
      <x:c r="D48" s="216" t="n">
        <x:v>220000</x:v>
      </x:c>
      <x:c r="E48" s="217" t="n">
        <x:f>D48*I48</x:f>
        <x:v>220000</x:v>
      </x:c>
      <x:c r="F48" s="217" t="n">
        <x:f>E48*Settings!$B$6</x:f>
        <x:v>46200000</x:v>
      </x:c>
      <x:c r="G48" s="217" t="n">
        <x:f>F48*Settings!$B$7</x:f>
        <x:v>2587200000</x:v>
      </x:c>
      <x:c r="H48" s="167" t="str">
        <x:v>M3: v2 simulation price, not a quote from F1/F2 or canon.</x:v>
      </x:c>
      <x:c r="I48" s="125" t="n">
        <x:v>1</x:v>
      </x:c>
      <x:c r="J48" s="219" t="n">
        <x:v>10800</x:v>
      </x:c>
      <x:c r="K48" s="220" t="n">
        <x:f>IF(J48=0,0,E48/J48)</x:f>
        <x:v>20.37037037037037</x:v>
      </x:c>
    </x:row>
    <x:row r="49" ht="40" customHeight="1">
      <x:c r="A49" s="167" t="str">
        <x:v>Works</x:v>
      </x:c>
      <x:c r="B49" s="167" t="str">
        <x:v>Great fortress</x:v>
      </x:c>
      <x:c r="C49" s="167" t="str">
        <x:v>programme</x:v>
      </x:c>
      <x:c r="D49" s="216" t="n">
        <x:v>900000</x:v>
      </x:c>
      <x:c r="E49" s="217" t="n">
        <x:f>D49*I49</x:f>
        <x:v>900000</x:v>
      </x:c>
      <x:c r="F49" s="217" t="n">
        <x:f>E49*Settings!$B$6</x:f>
        <x:v>189000000</x:v>
      </x:c>
      <x:c r="G49" s="217" t="n">
        <x:f>F49*Settings!$B$7</x:f>
        <x:v>10584000000</x:v>
      </x:c>
      <x:c r="H49" s="167" t="str">
        <x:v>M3: v2 simulation price, not a quote from F1/F2 or canon.</x:v>
      </x:c>
      <x:c r="I49" s="125" t="n">
        <x:v>1</x:v>
      </x:c>
      <x:c r="J49" s="219" t="n">
        <x:v>36000</x:v>
      </x:c>
      <x:c r="K49" s="220" t="n">
        <x:f>IF(J49=0,0,E49/J49)</x:f>
        <x:v>25</x:v>
      </x:c>
    </x:row>
    <x:row r="50" ht="40" customHeight="1">
      <x:c r="A50" s="167" t="str">
        <x:v>Works</x:v>
      </x:c>
      <x:c r="B50" s="167" t="str">
        <x:v>100 miles graded road, levy cash</x:v>
      </x:c>
      <x:c r="C50" s="167" t="str">
        <x:v>100 miles</x:v>
      </x:c>
      <x:c r="D50" s="216" t="n">
        <x:v>18000</x:v>
      </x:c>
      <x:c r="E50" s="217" t="n">
        <x:f>D50*I50</x:f>
        <x:v>18000</x:v>
      </x:c>
      <x:c r="F50" s="217" t="n">
        <x:f>E50*Settings!$B$6</x:f>
        <x:v>3780000</x:v>
      </x:c>
      <x:c r="G50" s="217" t="n">
        <x:f>F50*Settings!$B$7</x:f>
        <x:v>211680000</x:v>
      </x:c>
      <x:c r="H50" s="167" t="str">
        <x:v>M3: v2 simulation price, not a quote from F1/F2 or canon.</x:v>
      </x:c>
      <x:c r="I50" s="125" t="n">
        <x:v>1</x:v>
      </x:c>
      <x:c r="J50" s="219" t="n">
        <x:v>833.3333333333334</x:v>
      </x:c>
      <x:c r="K50" s="220" t="n">
        <x:f>IF(J50=0,0,E50/J50)</x:f>
        <x:v>21.599999999999998</x:v>
      </x:c>
    </x:row>
    <x:row r="51" ht="40" customHeight="1">
      <x:c r="A51" s="167" t="str">
        <x:v>Works</x:v>
      </x:c>
      <x:c r="B51" s="167" t="str">
        <x:v>100 miles graded road, wage-built</x:v>
      </x:c>
      <x:c r="C51" s="167" t="str">
        <x:v>100 miles</x:v>
      </x:c>
      <x:c r="D51" s="216" t="n">
        <x:v>75000</x:v>
      </x:c>
      <x:c r="E51" s="217" t="n">
        <x:f>D51*I51</x:f>
        <x:v>75000</x:v>
      </x:c>
      <x:c r="F51" s="217" t="n">
        <x:f>E51*Settings!$B$6</x:f>
        <x:v>15750000</x:v>
      </x:c>
      <x:c r="G51" s="217" t="n">
        <x:f>F51*Settings!$B$7</x:f>
        <x:v>882000000</x:v>
      </x:c>
      <x:c r="H51" s="167" t="str">
        <x:v>M3: v2 simulation price, not a quote from F1/F2 or canon.</x:v>
      </x:c>
      <x:c r="I51" s="125" t="n">
        <x:v>1</x:v>
      </x:c>
      <x:c r="J51" s="219" t="n">
        <x:v>3333.3333333333335</x:v>
      </x:c>
      <x:c r="K51" s="220" t="n">
        <x:f>IF(J51=0,0,E51/J51)</x:f>
        <x:v>22.5</x:v>
      </x:c>
    </x:row>
    <x:row r="52" ht="40" customHeight="1">
      <x:c r="A52" s="128" t="str">
        <x:v>Goods</x:v>
      </x:c>
      <x:c r="B52" s="128" t="str">
        <x:v>Coarse wool cloth</x:v>
      </x:c>
      <x:c r="C52" s="128" t="str">
        <x:v>yard</x:v>
      </x:c>
      <x:c r="D52" s="218" t="n">
        <x:v>0.08</x:v>
      </x:c>
      <x:c r="E52" s="218" t="n">
        <x:f>D52*I52</x:f>
        <x:v>0.08</x:v>
      </x:c>
      <x:c r="F52" s="218" t="n">
        <x:f>E52*Settings!$B$6</x:f>
        <x:v>16.8</x:v>
      </x:c>
      <x:c r="G52" s="218" t="n">
        <x:f>F52*Settings!$B$7</x:f>
        <x:v>940.8000000000001</x:v>
      </x:c>
      <x:c r="H52" s="167" t="str">
        <x:v>M3: new inventory proxy; specify quality and local weight in a real contract.</x:v>
      </x:c>
      <x:c r="I52" s="125" t="n">
        <x:v>1</x:v>
      </x:c>
      <x:c r="J52" s="219"/>
      <x:c r="K52" s="125"/>
    </x:row>
    <x:row r="53" ht="40" customHeight="1">
      <x:c r="A53" s="128" t="str">
        <x:v>Goods</x:v>
      </x:c>
      <x:c r="B53" s="128" t="str">
        <x:v>Preserved fish</x:v>
      </x:c>
      <x:c r="C53" s="128" t="str">
        <x:v>100 lb planning load</x:v>
      </x:c>
      <x:c r="D53" s="218" t="n">
        <x:v>4</x:v>
      </x:c>
      <x:c r="E53" s="218" t="n">
        <x:f>D53*I53</x:f>
        <x:v>4</x:v>
      </x:c>
      <x:c r="F53" s="218" t="n">
        <x:f>E53*Settings!$B$6</x:f>
        <x:v>840</x:v>
      </x:c>
      <x:c r="G53" s="218" t="n">
        <x:f>F53*Settings!$B$7</x:f>
        <x:v>47040</x:v>
      </x:c>
      <x:c r="H53" s="167" t="str">
        <x:v>M3: new inventory proxy; specify quality and local weight in a real contract.</x:v>
      </x:c>
      <x:c r="I53" s="125" t="n">
        <x:v>1</x:v>
      </x:c>
      <x:c r="J53" s="219"/>
      <x:c r="K53" s="125"/>
    </x:row>
    <x:row r="54" ht="28" customHeight="1">
      <x:c r="A54" s="131" t="str">
        <x:v>D contains NEW model prices. J preserves old gold-dragon prices for audit only. I changes market prices; it does not reset base tax quantities.</x:v>
      </x:c>
      <x:c r="B54" s="131"/>
      <x:c r="C54" s="131"/>
      <x:c r="D54" s="131"/>
      <x:c r="E54" s="131"/>
      <x:c r="F54" s="131"/>
      <x:c r="G54" s="131"/>
      <x:c r="H54" s="131"/>
      <x:c r="I54" s="125"/>
      <x:c r="J54" s="125"/>
      <x:c r="K54" s="125"/>
    </x:row>
    <x:row r="55" ht="28" customHeight="1">
      <x:c r="A55" s="128"/>
      <x:c r="B55" s="128"/>
      <x:c r="C55" s="128"/>
      <x:c r="D55" s="128"/>
      <x:c r="E55" s="128"/>
      <x:c r="F55" s="128"/>
      <x:c r="G55" s="128"/>
      <x:c r="H55" s="128"/>
      <x:c r="I55" s="125"/>
      <x:c r="J55" s="125"/>
      <x:c r="K55" s="125"/>
    </x:row>
    <x:row r="56" ht="22" customHeight="1">
      <x:c r="A56" s="128" t="str">
        <x:v>No universal multiplier was used. Labour, food, livestock, arms, ships and construction were reviewed separately; all remain scenario assumptions.</x:v>
      </x:c>
      <x:c r="B56" s="128"/>
      <x:c r="C56" s="128"/>
      <x:c r="D56" s="128"/>
      <x:c r="E56" s="128"/>
      <x:c r="F56" s="128"/>
      <x:c r="G56" s="128"/>
      <x:c r="H56" s="128"/>
      <x:c r="I56" s="125"/>
      <x:c r="J56" s="125"/>
      <x:c r="K56" s="125"/>
    </x:row>
    <x:row r="57">
      <x:c r="A57" s="125"/>
      <x:c r="B57" s="125"/>
      <x:c r="C57" s="125"/>
      <x:c r="D57" s="125"/>
      <x:c r="E57" s="125"/>
      <x:c r="F57" s="125"/>
      <x:c r="G57" s="125"/>
      <x:c r="H57" s="125"/>
      <x:c r="I57" s="125"/>
      <x:c r="J57" s="125"/>
      <x:c r="K57" s="125"/>
    </x:row>
    <x:row r="58">
      <x:c r="A58" s="125"/>
      <x:c r="B58" s="125"/>
      <x:c r="C58" s="125"/>
      <x:c r="D58" s="125"/>
      <x:c r="E58" s="125"/>
      <x:c r="F58" s="125"/>
      <x:c r="G58" s="125"/>
      <x:c r="H58" s="125"/>
      <x:c r="I58" s="125"/>
      <x:c r="J58" s="125"/>
      <x:c r="K58" s="125"/>
    </x:row>
    <x:row r="59">
      <x:c r="A59" s="125"/>
      <x:c r="B59" s="125"/>
      <x:c r="C59" s="125"/>
      <x:c r="D59" s="125"/>
      <x:c r="E59" s="125"/>
      <x:c r="F59" s="125"/>
      <x:c r="G59" s="125"/>
      <x:c r="H59" s="125"/>
      <x:c r="I59" s="125"/>
      <x:c r="J59" s="125"/>
      <x:c r="K59" s="125"/>
    </x:row>
  </x:sheetData>
  <x:mergeCells>
    <x:mergeCell ref="A1:H1"/>
    <x:mergeCell ref="A54:H54"/>
  </x:mergeCells>
  <x:pageMargins left="0.7" right="0.7" top="0.75" bottom="0.75" header="0.3" footer="0.3"/>
  <x:legacyDrawing xmlns:r="http://schemas.openxmlformats.org/officeDocument/2006/relationships" r:id="R9b89eecd0d494ad9"/>
</x:worksheet>
</file>

<file path=xl/worksheets/sheet10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6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124" t="str">
        <x:v>Campaign calculator | daily costs, supplies and payer shares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</x:row>
    <x:row r="2">
      <x:c r="A2" s="125"/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</x:row>
    <x:row r="4">
      <x:c r="A4" s="125"/>
      <x:c r="B4" s="125"/>
      <x:c r="C4" s="125"/>
      <x:c r="D4" s="125"/>
      <x:c r="E4" s="125"/>
      <x:c r="F4" s="125"/>
      <x:c r="G4" s="125"/>
      <x:c r="H4" s="125"/>
      <x:c r="I4" s="125"/>
      <x:c r="J4" s="125"/>
      <x:c r="K4" s="125"/>
      <x:c r="L4" s="125"/>
    </x:row>
    <x:row r="5" ht="28" customHeight="1">
      <x:c r="A5" s="128" t="str">
        <x:v>Campaign duration</x:v>
      </x:c>
      <x:c r="B5" s="155" t="n">
        <x:v>150</x:v>
      </x:c>
      <x:c r="C5" s="167" t="str">
        <x:v>days</x:v>
      </x:c>
      <x:c r="D5" s="128"/>
      <x:c r="E5" s="128"/>
      <x:c r="F5" s="128"/>
      <x:c r="G5" s="128"/>
      <x:c r="H5" s="128"/>
      <x:c r="I5" s="128"/>
      <x:c r="J5" s="128"/>
      <x:c r="K5" s="128"/>
      <x:c r="L5" s="128"/>
    </x:row>
    <x:row r="6" ht="28" customHeight="1">
      <x:c r="A6" s="128" t="str">
        <x:v>Owed service ceiling</x:v>
      </x:c>
      <x:c r="B6" s="155" t="n">
        <x:v>40</x:v>
      </x:c>
      <x:c r="C6" s="167" t="str">
        <x:v>days; optional scenario rule, not universal canon</x:v>
      </x:c>
      <x:c r="D6" s="128"/>
      <x:c r="E6" s="128"/>
      <x:c r="F6" s="128"/>
      <x:c r="G6" s="128"/>
      <x:c r="H6" s="128"/>
      <x:c r="I6" s="128"/>
      <x:c r="J6" s="128"/>
      <x:c r="K6" s="128"/>
      <x:c r="L6" s="128"/>
    </x:row>
    <x:row r="7" ht="28" customHeight="1">
      <x:c r="A7" s="128" t="str">
        <x:v>Logistics overhead on food / fodder</x:v>
      </x:c>
      <x:c r="B7" s="171" t="n">
        <x:v>0.25</x:v>
      </x:c>
      <x:c r="C7" s="167" t="str">
        <x:v>fraction</x:v>
      </x:c>
      <x:c r="D7" s="128"/>
      <x:c r="E7" s="128"/>
      <x:c r="F7" s="128"/>
      <x:c r="G7" s="128"/>
      <x:c r="H7" s="128"/>
      <x:c r="I7" s="128"/>
      <x:c r="J7" s="128"/>
      <x:c r="K7" s="128"/>
      <x:c r="L7" s="128"/>
    </x:row>
    <x:row r="8" ht="28" customHeight="1">
      <x:c r="A8" s="128" t="str">
        <x:v>Camp followers / combatants</x:v>
      </x:c>
      <x:c r="B8" s="171" t="n">
        <x:v>0.1</x:v>
      </x:c>
      <x:c r="C8" s="167" t="str">
        <x:v>fraction; rations included, wages excluded</x:v>
      </x:c>
      <x:c r="D8" s="128"/>
      <x:c r="E8" s="128"/>
      <x:c r="F8" s="128"/>
      <x:c r="G8" s="128"/>
      <x:c r="H8" s="128"/>
      <x:c r="I8" s="128"/>
      <x:c r="J8" s="128"/>
      <x:c r="K8" s="128"/>
      <x:c r="L8" s="128"/>
    </x:row>
    <x:row r="9" ht="28" customHeight="1">
      <x:c r="A9" s="128" t="str">
        <x:v>Central treasury share of host cost</x:v>
      </x:c>
      <x:c r="B9" s="171" t="n">
        <x:v>0.4</x:v>
      </x:c>
      <x:c r="C9" s="167" t="str">
        <x:v>fraction; remainder falls to participating vassals</x:v>
      </x:c>
      <x:c r="D9" s="128"/>
      <x:c r="E9" s="128"/>
      <x:c r="F9" s="128"/>
      <x:c r="G9" s="128"/>
      <x:c r="H9" s="128"/>
      <x:c r="I9" s="128"/>
      <x:c r="J9" s="128"/>
      <x:c r="K9" s="128"/>
      <x:c r="L9" s="128"/>
    </x:row>
    <x:row r="10" ht="28" customHeight="1">
      <x:c r="A10" s="128" t="str">
        <x:v>Equipment loss / replacement</x:v>
      </x:c>
      <x:c r="B10" s="171" t="n">
        <x:v>0.02</x:v>
      </x:c>
      <x:c r="C10" s="167" t="str">
        <x:v>fraction of full kit value during campaign</x:v>
      </x:c>
      <x:c r="D10" s="128"/>
      <x:c r="E10" s="128"/>
      <x:c r="F10" s="128"/>
      <x:c r="G10" s="128"/>
      <x:c r="H10" s="128"/>
      <x:c r="I10" s="128"/>
      <x:c r="J10" s="128"/>
      <x:c r="K10" s="128"/>
      <x:c r="L10" s="128"/>
    </x:row>
    <x:row r="11" ht="28" customHeight="1">
      <x:c r="A11" s="128"/>
      <x:c r="B11" s="128"/>
      <x:c r="C11" s="128"/>
      <x:c r="D11" s="128"/>
      <x:c r="E11" s="128"/>
      <x:c r="F11" s="128"/>
      <x:c r="G11" s="128"/>
      <x:c r="H11" s="128"/>
      <x:c r="I11" s="128"/>
      <x:c r="J11" s="128"/>
      <x:c r="K11" s="128"/>
      <x:c r="L11" s="128"/>
    </x:row>
    <x:row r="12" ht="28" customHeight="1">
      <x:c r="A12" s="128"/>
      <x:c r="B12" s="128"/>
      <x:c r="C12" s="128"/>
      <x:c r="D12" s="128"/>
      <x:c r="E12" s="128"/>
      <x:c r="F12" s="128"/>
      <x:c r="G12" s="128"/>
      <x:c r="H12" s="128"/>
      <x:c r="I12" s="128"/>
      <x:c r="J12" s="128"/>
      <x:c r="K12" s="128"/>
      <x:c r="L12" s="128"/>
    </x:row>
    <x:row r="13" ht="28" customHeight="1">
      <x:c r="A13" s="128"/>
      <x:c r="B13" s="128"/>
      <x:c r="C13" s="128"/>
      <x:c r="D13" s="128"/>
      <x:c r="E13" s="128"/>
      <x:c r="F13" s="128"/>
      <x:c r="G13" s="128"/>
      <x:c r="H13" s="128"/>
      <x:c r="I13" s="128"/>
      <x:c r="J13" s="128"/>
      <x:c r="K13" s="128"/>
      <x:c r="L13" s="128"/>
    </x:row>
    <x:row r="14" ht="28" customHeight="1">
      <x:c r="A14" s="140" t="str">
        <x:v>Cohort</x:v>
      </x:c>
      <x:c r="B14" s="140" t="str">
        <x:v>People</x:v>
      </x:c>
      <x:c r="C14" s="140" t="str">
        <x:v>Wage G/day</x:v>
      </x:c>
      <x:c r="D14" s="140" t="str">
        <x:v>Ration G/day</x:v>
      </x:c>
      <x:c r="E14" s="140" t="str">
        <x:v>Horses / person</x:v>
      </x:c>
      <x:c r="F14" s="140" t="str">
        <x:v>Owed-service fraction</x:v>
      </x:c>
      <x:c r="G14" s="140" t="str">
        <x:v>Kit G/person</x:v>
      </x:c>
      <x:c r="H14" s="140" t="str">
        <x:v>Paid wages G</x:v>
      </x:c>
      <x:c r="I14" s="140" t="str">
        <x:v>Food G</x:v>
      </x:c>
      <x:c r="J14" s="140" t="str">
        <x:v>Fodder G</x:v>
      </x:c>
      <x:c r="K14" s="140" t="str">
        <x:v>Kit replacement G</x:v>
      </x:c>
      <x:c r="L14" s="140" t="str">
        <x:v>Cohort cost G</x:v>
      </x:c>
    </x:row>
    <x:row r="15" ht="28" customHeight="1">
      <x:c r="A15" s="128" t="str">
        <x:v>Levied spearmen</x:v>
      </x:c>
      <x:c r="B15" s="155" t="n">
        <x:v>20000</x:v>
      </x:c>
      <x:c r="C15" s="185" t="n">
        <x:f>Prices!E31</x:f>
        <x:v>0.06</x:v>
      </x:c>
      <x:c r="D15" s="185" t="n">
        <x:f>Prices!E35</x:f>
        <x:v>0.007</x:v>
      </x:c>
      <x:c r="E15" s="186" t="n">
        <x:v>0</x:v>
      </x:c>
      <x:c r="F15" s="186" t="n">
        <x:v>1</x:v>
      </x:c>
      <x:c r="G15" s="187" t="n">
        <x:f>Prices!E37</x:f>
        <x:v>4</x:v>
      </x:c>
      <x:c r="H15" s="187" t="n">
        <x:f>B15*C15*MAX(0,$B$5-MIN($B$5,$B$6)*F15)</x:f>
        <x:v>132000</x:v>
      </x:c>
      <x:c r="I15" s="187" t="n">
        <x:f>B15*D15*$B$5</x:f>
        <x:v>21000</x:v>
      </x:c>
      <x:c r="J15" s="187" t="n">
        <x:f>B15*E15*Prices!$E$36*$B$5</x:f>
        <x:v>0</x:v>
      </x:c>
      <x:c r="K15" s="187" t="n">
        <x:f>B15*G15*$B$10</x:f>
        <x:v>1600</x:v>
      </x:c>
      <x:c r="L15" s="187" t="n">
        <x:f>SUM(H15:K15)</x:f>
        <x:v>154600</x:v>
      </x:c>
    </x:row>
    <x:row r="16" ht="28" customHeight="1">
      <x:c r="A16" s="128" t="str">
        <x:v>Archers</x:v>
      </x:c>
      <x:c r="B16" s="155" t="n">
        <x:v>5000</x:v>
      </x:c>
      <x:c r="C16" s="185" t="n">
        <x:f>Prices!E32</x:f>
        <x:v>0.09</x:v>
      </x:c>
      <x:c r="D16" s="185" t="n">
        <x:f>Prices!E35</x:f>
        <x:v>0.007</x:v>
      </x:c>
      <x:c r="E16" s="186" t="n">
        <x:v>0</x:v>
      </x:c>
      <x:c r="F16" s="186" t="n">
        <x:v>1</x:v>
      </x:c>
      <x:c r="G16" s="187" t="n">
        <x:f>Prices!E37</x:f>
        <x:v>4</x:v>
      </x:c>
      <x:c r="H16" s="187" t="n">
        <x:f>B16*C16*MAX(0,$B$5-MIN($B$5,$B$6)*F16)</x:f>
        <x:v>49500</x:v>
      </x:c>
      <x:c r="I16" s="187" t="n">
        <x:f>B16*D16*$B$5</x:f>
        <x:v>5250</x:v>
      </x:c>
      <x:c r="J16" s="187" t="n">
        <x:f>B16*E16*Prices!$E$36*$B$5</x:f>
        <x:v>0</x:v>
      </x:c>
      <x:c r="K16" s="187" t="n">
        <x:f>B16*G16*$B$10</x:f>
        <x:v>400</x:v>
      </x:c>
      <x:c r="L16" s="187" t="n">
        <x:f>SUM(H16:K16)</x:f>
        <x:v>55150</x:v>
      </x:c>
    </x:row>
    <x:row r="17" ht="28" customHeight="1">
      <x:c r="A17" s="128" t="str">
        <x:v>Mounted sergeants</x:v>
      </x:c>
      <x:c r="B17" s="155" t="n">
        <x:v>4000</x:v>
      </x:c>
      <x:c r="C17" s="185" t="n">
        <x:f>Prices!E33</x:f>
        <x:v>0.35</x:v>
      </x:c>
      <x:c r="D17" s="185" t="n">
        <x:f>Prices!E35</x:f>
        <x:v>0.007</x:v>
      </x:c>
      <x:c r="E17" s="186" t="n">
        <x:v>1.5</x:v>
      </x:c>
      <x:c r="F17" s="186" t="n">
        <x:v>1</x:v>
      </x:c>
      <x:c r="G17" s="187" t="n">
        <x:f>Prices!E38</x:f>
        <x:v>160</x:v>
      </x:c>
      <x:c r="H17" s="187" t="n">
        <x:f>B17*C17*MAX(0,$B$5-MIN($B$5,$B$6)*F17)</x:f>
        <x:v>154000</x:v>
      </x:c>
      <x:c r="I17" s="187" t="n">
        <x:f>B17*D17*$B$5</x:f>
        <x:v>4200</x:v>
      </x:c>
      <x:c r="J17" s="187" t="n">
        <x:f>B17*E17*Prices!$E$36*$B$5</x:f>
        <x:v>27000</x:v>
      </x:c>
      <x:c r="K17" s="187" t="n">
        <x:f>B17*G17*$B$10</x:f>
        <x:v>12800</x:v>
      </x:c>
      <x:c r="L17" s="187" t="n">
        <x:f>SUM(H17:K17)</x:f>
        <x:v>198000</x:v>
      </x:c>
    </x:row>
    <x:row r="18" ht="28" customHeight="1">
      <x:c r="A18" s="128" t="str">
        <x:v>Knights</x:v>
      </x:c>
      <x:c r="B18" s="155" t="n">
        <x:v>1000</x:v>
      </x:c>
      <x:c r="C18" s="185" t="n">
        <x:f>Prices!E34</x:f>
        <x:v>0.7</x:v>
      </x:c>
      <x:c r="D18" s="185" t="n">
        <x:f>Prices!E35</x:f>
        <x:v>0.007</x:v>
      </x:c>
      <x:c r="E18" s="186" t="n">
        <x:v>3</x:v>
      </x:c>
      <x:c r="F18" s="186" t="n">
        <x:v>1</x:v>
      </x:c>
      <x:c r="G18" s="187" t="n">
        <x:f>Prices!E39</x:f>
        <x:v>600</x:v>
      </x:c>
      <x:c r="H18" s="187" t="n">
        <x:f>B18*C18*MAX(0,$B$5-MIN($B$5,$B$6)*F18)</x:f>
        <x:v>77000</x:v>
      </x:c>
      <x:c r="I18" s="187" t="n">
        <x:f>B18*D18*$B$5</x:f>
        <x:v>1050</x:v>
      </x:c>
      <x:c r="J18" s="187" t="n">
        <x:f>B18*E18*Prices!$E$36*$B$5</x:f>
        <x:v>13500</x:v>
      </x:c>
      <x:c r="K18" s="187" t="n">
        <x:f>B18*G18*$B$10</x:f>
        <x:v>12000</x:v>
      </x:c>
      <x:c r="L18" s="187" t="n">
        <x:f>SUM(H18:K18)</x:f>
        <x:v>103550</x:v>
      </x:c>
    </x:row>
    <x:row r="19" ht="28" customHeight="1">
      <x:c r="A19" s="128"/>
      <x:c r="B19" s="128"/>
      <x:c r="C19" s="188"/>
      <x:c r="D19" s="188"/>
      <x:c r="E19" s="188"/>
      <x:c r="F19" s="188"/>
      <x:c r="G19" s="188"/>
      <x:c r="H19" s="188"/>
      <x:c r="I19" s="188"/>
      <x:c r="J19" s="188"/>
      <x:c r="K19" s="188"/>
      <x:c r="L19" s="188"/>
    </x:row>
    <x:row r="20" ht="28" customHeight="1">
      <x:c r="A20" s="128" t="str">
        <x:v>COHORT TOTAL</x:v>
      </x:c>
      <x:c r="B20" s="188" t="n">
        <x:f>SUM(B15:B18)</x:f>
        <x:v>30000</x:v>
      </x:c>
      <x:c r="C20" s="188"/>
      <x:c r="D20" s="188"/>
      <x:c r="E20" s="188"/>
      <x:c r="F20" s="188"/>
      <x:c r="G20" s="188"/>
      <x:c r="H20" s="188" t="n">
        <x:f>SUM(H15:H18)</x:f>
        <x:v>412500</x:v>
      </x:c>
      <x:c r="I20" s="188" t="n">
        <x:f>SUM(I15:I18)</x:f>
        <x:v>31500</x:v>
      </x:c>
      <x:c r="J20" s="188" t="n">
        <x:f>SUM(J15:J18)</x:f>
        <x:v>40500</x:v>
      </x:c>
      <x:c r="K20" s="188" t="n">
        <x:f>SUM(K15:K18)</x:f>
        <x:v>26800</x:v>
      </x:c>
      <x:c r="L20" s="188" t="n">
        <x:f>SUM(L15:L18)</x:f>
        <x:v>511300</x:v>
      </x:c>
    </x:row>
    <x:row r="21" ht="28" customHeight="1">
      <x:c r="A21" s="128"/>
      <x:c r="B21" s="188"/>
      <x:c r="C21" s="128"/>
      <x:c r="D21" s="128"/>
      <x:c r="E21" s="128"/>
      <x:c r="F21" s="128"/>
      <x:c r="G21" s="128"/>
      <x:c r="H21" s="128"/>
      <x:c r="I21" s="128"/>
      <x:c r="J21" s="128"/>
      <x:c r="K21" s="128"/>
      <x:c r="L21" s="128"/>
    </x:row>
    <x:row r="22" ht="28" customHeight="1">
      <x:c r="A22" s="128" t="str">
        <x:v>Follower food</x:v>
      </x:c>
      <x:c r="B22" s="187" t="n">
        <x:f>B20*$B$8*Prices!E35*$B$5</x:f>
        <x:v>3150</x:v>
      </x:c>
      <x:c r="C22" s="128"/>
      <x:c r="D22" s="128"/>
      <x:c r="E22" s="128"/>
      <x:c r="F22" s="128"/>
      <x:c r="G22" s="128"/>
      <x:c r="H22" s="128"/>
      <x:c r="I22" s="128"/>
      <x:c r="J22" s="128"/>
      <x:c r="K22" s="128"/>
      <x:c r="L22" s="128"/>
    </x:row>
    <x:row r="23" ht="28" customHeight="1">
      <x:c r="A23" s="128" t="str">
        <x:v>Logistics overhead</x:v>
      </x:c>
      <x:c r="B23" s="187" t="n">
        <x:f>(SUM(I15:J18)+B22)*$B$7</x:f>
        <x:v>18787.5</x:v>
      </x:c>
      <x:c r="C23" s="128"/>
      <x:c r="D23" s="128"/>
      <x:c r="E23" s="128"/>
      <x:c r="F23" s="128"/>
      <x:c r="G23" s="128"/>
      <x:c r="H23" s="128"/>
      <x:c r="I23" s="128"/>
      <x:c r="J23" s="128"/>
      <x:c r="K23" s="128"/>
      <x:c r="L23" s="128"/>
    </x:row>
    <x:row r="24" ht="28" customHeight="1">
      <x:c r="A24" s="128" t="str">
        <x:v>Total horses</x:v>
      </x:c>
      <x:c r="B24" s="187" t="n">
        <x:f>SUMPRODUCT(B15:B18,E15:E18)</x:f>
        <x:v>9000</x:v>
      </x:c>
      <x:c r="C24" s="128"/>
      <x:c r="D24" s="128"/>
      <x:c r="E24" s="128"/>
      <x:c r="F24" s="128"/>
      <x:c r="G24" s="128"/>
      <x:c r="H24" s="128"/>
      <x:c r="I24" s="128"/>
      <x:c r="J24" s="128"/>
      <x:c r="K24" s="128"/>
      <x:c r="L24" s="128"/>
    </x:row>
    <x:row r="25" ht="28" customHeight="1">
      <x:c r="A25" s="168" t="str">
        <x:v>WHOLE-HOST CAMPAIGN COST</x:v>
      </x:c>
      <x:c r="B25" s="189" t="n">
        <x:f>L20+SUM(B22:B23)</x:f>
        <x:v>533237.5</x:v>
      </x:c>
      <x:c r="C25" s="128"/>
      <x:c r="D25" s="128"/>
      <x:c r="E25" s="128"/>
      <x:c r="F25" s="128"/>
      <x:c r="G25" s="128"/>
      <x:c r="H25" s="128"/>
      <x:c r="I25" s="128"/>
      <x:c r="J25" s="128"/>
      <x:c r="K25" s="128"/>
      <x:c r="L25" s="128"/>
    </x:row>
    <x:row r="26" ht="28" customHeight="1">
      <x:c r="A26" s="168" t="str">
        <x:v>Central payer cash allocation</x:v>
      </x:c>
      <x:c r="B26" s="189" t="n">
        <x:f>B25*$B$9</x:f>
        <x:v>213295</x:v>
      </x:c>
      <x:c r="C26" s="128"/>
      <x:c r="D26" s="128"/>
      <x:c r="E26" s="128"/>
      <x:c r="F26" s="128"/>
      <x:c r="G26" s="128"/>
      <x:c r="H26" s="128"/>
      <x:c r="I26" s="128"/>
      <x:c r="J26" s="128"/>
      <x:c r="K26" s="128"/>
      <x:c r="L26" s="128"/>
    </x:row>
    <x:row r="27" ht="28" customHeight="1">
      <x:c r="A27" s="168" t="str">
        <x:v>Vassal cash allocation</x:v>
      </x:c>
      <x:c r="B27" s="189" t="n">
        <x:f>B25-B26</x:f>
        <x:v>319942.5</x:v>
      </x:c>
      <x:c r="C27" s="128"/>
      <x:c r="D27" s="128"/>
      <x:c r="E27" s="128"/>
      <x:c r="F27" s="128"/>
      <x:c r="G27" s="128"/>
      <x:c r="H27" s="128"/>
      <x:c r="I27" s="128"/>
      <x:c r="J27" s="128"/>
      <x:c r="K27" s="128"/>
      <x:c r="L27" s="128"/>
    </x:row>
    <x:row r="28" ht="28" customHeight="1">
      <x:c r="A28" s="128" t="str">
        <x:v>Central share per 30 days, average</x:v>
      </x:c>
      <x:c r="B28" s="187" t="n">
        <x:f>B26/MAX(1,B5)*30</x:f>
        <x:v>42659</x:v>
      </x:c>
      <x:c r="C28" s="128"/>
      <x:c r="D28" s="128"/>
      <x:c r="E28" s="128"/>
      <x:c r="F28" s="128"/>
      <x:c r="G28" s="128"/>
      <x:c r="H28" s="128"/>
      <x:c r="I28" s="128"/>
      <x:c r="J28" s="128"/>
      <x:c r="K28" s="128"/>
      <x:c r="L28" s="128"/>
    </x:row>
    <x:row r="29" ht="28" customHeight="1">
      <x:c r="A29" s="128"/>
      <x:c r="B29" s="128"/>
      <x:c r="C29" s="128"/>
      <x:c r="D29" s="128"/>
      <x:c r="E29" s="128"/>
      <x:c r="F29" s="128"/>
      <x:c r="G29" s="128"/>
      <x:c r="H29" s="128"/>
      <x:c r="I29" s="128"/>
      <x:c r="J29" s="128"/>
      <x:c r="K29" s="128"/>
      <x:c r="L29" s="128"/>
    </x:row>
    <x:row r="30" ht="28" customHeight="1">
      <x:c r="A30" s="128"/>
      <x:c r="B30" s="128"/>
      <x:c r="C30" s="128"/>
      <x:c r="D30" s="128"/>
      <x:c r="E30" s="128"/>
      <x:c r="F30" s="128"/>
      <x:c r="G30" s="128"/>
      <x:c r="H30" s="128"/>
      <x:c r="I30" s="128"/>
      <x:c r="J30" s="128"/>
      <x:c r="K30" s="128"/>
      <x:c r="L30" s="128"/>
    </x:row>
    <x:row r="31" ht="35" customHeight="1">
      <x:c r="A31" s="131" t="str">
        <x:v>Set owed-service fraction to zero for professionals paid from day one. Food and fodder are charged throughout, including owed service.</x:v>
      </x:c>
      <x:c r="B31" s="131"/>
      <x:c r="C31" s="131"/>
      <x:c r="D31" s="131"/>
      <x:c r="E31" s="131"/>
      <x:c r="F31" s="131"/>
      <x:c r="G31" s="131"/>
      <x:c r="H31" s="131"/>
      <x:c r="I31" s="131"/>
      <x:c r="J31" s="131"/>
      <x:c r="K31" s="131"/>
      <x:c r="L31" s="131"/>
    </x:row>
    <x:row r="32" ht="22" customHeight="1">
      <x:c r="A32" s="128"/>
      <x:c r="B32" s="128"/>
      <x:c r="C32" s="128"/>
      <x:c r="D32" s="128"/>
      <x:c r="E32" s="128"/>
      <x:c r="F32" s="128"/>
      <x:c r="G32" s="128"/>
      <x:c r="H32" s="128"/>
      <x:c r="I32" s="128"/>
      <x:c r="J32" s="128"/>
      <x:c r="K32" s="128"/>
      <x:c r="L32" s="128"/>
    </x:row>
    <x:row r="33" ht="35" customHeight="1">
      <x:c r="A33" s="131" t="str">
        <x:v>The calculator is not posted automatically to any regional budget. Enter the chosen payer's share in Outlays column M once; do not charge the full host to every lord.</x:v>
      </x:c>
      <x:c r="B33" s="131"/>
      <x:c r="C33" s="131"/>
      <x:c r="D33" s="131"/>
      <x:c r="E33" s="131"/>
      <x:c r="F33" s="131"/>
      <x:c r="G33" s="131"/>
      <x:c r="H33" s="131"/>
      <x:c r="I33" s="131"/>
      <x:c r="J33" s="131"/>
      <x:c r="K33" s="131"/>
      <x:c r="L33" s="131"/>
    </x:row>
    <x:row r="34" ht="22" customHeight="1">
      <x:c r="A34" s="128"/>
      <x:c r="B34" s="128"/>
      <x:c r="C34" s="128"/>
      <x:c r="D34" s="128"/>
      <x:c r="E34" s="128"/>
      <x:c r="F34" s="128"/>
      <x:c r="G34" s="128"/>
      <x:c r="H34" s="128"/>
      <x:c r="I34" s="128"/>
      <x:c r="J34" s="128"/>
      <x:c r="K34" s="128"/>
      <x:c r="L34" s="128"/>
    </x:row>
    <x:row r="35" ht="35" customHeight="1">
      <x:c r="A35" s="33" t="str">
        <x:v>Excludes battlefield mortality forecasts, ransom income, siege trains, new ships and extraordinary mounts. Followers receive food but no cash wage in this default.</x:v>
      </x:c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 ht="22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</x:row>
    <x:row r="37" ht="35" customHeight="1">
      <x:c r="A37" s="33" t="str">
        <x:v>All rates and troop counts are simulation assumptions. A 40-day limit is a configurable contract convention, not a universal medieval or Westerosi rule.</x:v>
      </x:c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 ht="22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</x:row>
    <x:row r="39" ht="22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 ht="22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 ht="22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 ht="22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</x:row>
    <x:row r="43" ht="22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</x:row>
  </x:sheetData>
  <x:mergeCells>
    <x:mergeCell ref="A1:L1"/>
    <x:mergeCell ref="A31:L31"/>
    <x:mergeCell ref="A33:L33"/>
    <x:mergeCell ref="A35:L35"/>
    <x:mergeCell ref="A37:L37"/>
  </x:mergeCells>
  <x:pageMargins left="0.7" right="0.7" top="0.75" bottom="0.75" header="0.3" footer="0.3"/>
  <x:legacyDrawing xmlns:r="http://schemas.openxmlformats.org/officeDocument/2006/relationships" r:id="R52dbddd1a95d493c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2" customHeight="1">
      <x:c r="A1" s="124" t="str">
        <x:v>Food balance | grain bushels, not treasury gold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124"/>
      <x:c r="N1" s="124"/>
      <x:c r="O1" s="124"/>
      <x:c r="P1" s="124"/>
      <x:c r="Q1" s="124"/>
      <x:c r="R1" s="125"/>
      <x:c r="S1" s="125"/>
      <x:c r="T1" s="125"/>
      <x:c r="U1" s="125"/>
    </x:row>
    <x:row r="2">
      <x:c r="A2" s="125" t="str">
        <x:v>Grain price multiplier</x:v>
      </x:c>
      <x:c r="B2" s="155" t="n">
        <x:v>1</x:v>
      </x:c>
      <x:c r="C2" s="125"/>
      <x:c r="D2" s="192" t="str">
        <x:v>Import bill excludes freight; usually private spending, not all public expenditure.</x:v>
      </x:c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25"/>
      <x:c r="S2" s="125"/>
      <x:c r="T2" s="125"/>
      <x:c r="U2" s="125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  <x:c r="M3" s="125"/>
      <x:c r="N3" s="125"/>
      <x:c r="O3" s="125"/>
      <x:c r="P3" s="125"/>
      <x:c r="Q3" s="125"/>
      <x:c r="R3" s="125"/>
      <x:c r="S3" s="125"/>
      <x:c r="T3" s="125"/>
      <x:c r="U3" s="125"/>
    </x:row>
    <x:row r="4" ht="38" customHeight="1">
      <x:c r="A4" s="140" t="str">
        <x:v>Region</x:v>
      </x:c>
      <x:c r="B4" s="140" t="str">
        <x:v>Population</x:v>
      </x:c>
      <x:c r="C4" s="140" t="str">
        <x:v>Food grain bu/head</x:v>
      </x:c>
      <x:c r="D4" s="140" t="str">
        <x:v>Annual demand bu</x:v>
      </x:c>
      <x:c r="E4" s="140" t="str">
        <x:v>Postwar net grain bu</x:v>
      </x:c>
      <x:c r="F4" s="140" t="str">
        <x:v>Harvest multiplier</x:v>
      </x:c>
      <x:c r="G4" s="140" t="str">
        <x:v>Actual net grain bu</x:v>
      </x:c>
      <x:c r="H4" s="140" t="str">
        <x:v>Balance before trade bu</x:v>
      </x:c>
      <x:c r="I4" s="140" t="str">
        <x:v>Public opening stocks bu</x:v>
      </x:c>
      <x:c r="J4" s="140" t="str">
        <x:v>Import capacity bu</x:v>
      </x:c>
      <x:c r="K4" s="140" t="str">
        <x:v>Imports needed bu</x:v>
      </x:c>
      <x:c r="L4" s="140" t="str">
        <x:v>Capacity-limited imports bu</x:v>
      </x:c>
      <x:c r="M4" s="140" t="str">
        <x:v>Shortfall before release bu</x:v>
      </x:c>
      <x:c r="N4" s="140" t="str">
        <x:v>Public release bu</x:v>
      </x:c>
      <x:c r="O4" s="140" t="str">
        <x:v>Closing public stocks bu</x:v>
      </x:c>
      <x:c r="P4" s="140" t="str">
        <x:v>Uncovered gap bu</x:v>
      </x:c>
      <x:c r="Q4" s="140" t="str">
        <x:v>Private import bill G</x:v>
      </x:c>
      <x:c r="R4" s="125"/>
      <x:c r="S4" s="125"/>
      <x:c r="T4" s="125"/>
      <x:c r="U4" s="125"/>
    </x:row>
    <x:row r="5" ht="28" customHeight="1">
      <x:c r="A5" s="128" t="str">
        <x:v>North</x:v>
      </x:c>
      <x:c r="B5" s="141" t="n">
        <x:f>Inputs!C5</x:f>
        <x:v>3500000</x:v>
      </x:c>
      <x:c r="C5" s="193" t="n">
        <x:f>Inputs!L5</x:f>
        <x:v>6</x:v>
      </x:c>
      <x:c r="D5" s="141" t="n">
        <x:f>B5*C5</x:f>
        <x:v>21000000</x:v>
      </x:c>
      <x:c r="E5" s="141" t="n">
        <x:f>Inputs!M5*Inputs!N5</x:f>
        <x:v>20874000</x:v>
      </x:c>
      <x:c r="F5" s="160" t="n">
        <x:v>1</x:v>
      </x:c>
      <x:c r="G5" s="141" t="n">
        <x:f>E5*F5</x:f>
        <x:v>20874000</x:v>
      </x:c>
      <x:c r="H5" s="141" t="n">
        <x:f>G5-D5</x:f>
        <x:v>-126000</x:v>
      </x:c>
      <x:c r="I5" s="141" t="n">
        <x:f>Inputs!K5</x:f>
        <x:v>250000</x:v>
      </x:c>
      <x:c r="J5" s="141" t="n">
        <x:f>Inputs!O5</x:f>
        <x:v>300000</x:v>
      </x:c>
      <x:c r="K5" s="141" t="n">
        <x:f>MAX(0,-H5)</x:f>
        <x:v>126000</x:v>
      </x:c>
      <x:c r="L5" s="141" t="n">
        <x:f>MIN(K5,J5)</x:f>
        <x:v>126000</x:v>
      </x:c>
      <x:c r="M5" s="141" t="n">
        <x:f>MAX(0,K5-L5)</x:f>
        <x:v>0</x:v>
      </x:c>
      <x:c r="N5" s="156" t="n">
        <x:v>0</x:v>
      </x:c>
      <x:c r="O5" s="141" t="n">
        <x:f>I5*(1-Settings!$B$13)-N5</x:f>
        <x:v>237500</x:v>
      </x:c>
      <x:c r="P5" s="141" t="n">
        <x:f>MAX(0,M5-N5)</x:f>
        <x:v>0</x:v>
      </x:c>
      <x:c r="Q5" s="141" t="n">
        <x:f>L5*Prices!$E$8*$B$2</x:f>
        <x:v>18900</x:v>
      </x:c>
      <x:c r="R5" s="125"/>
      <x:c r="S5" s="125"/>
      <x:c r="T5" s="125"/>
      <x:c r="U5" s="125"/>
    </x:row>
    <x:row r="6" ht="28" customHeight="1">
      <x:c r="A6" s="128" t="str">
        <x:v>Vale</x:v>
      </x:c>
      <x:c r="B6" s="141" t="n">
        <x:f>Inputs!C6</x:f>
        <x:v>3000000</x:v>
      </x:c>
      <x:c r="C6" s="193" t="n">
        <x:f>Inputs!L6</x:f>
        <x:v>6</x:v>
      </x:c>
      <x:c r="D6" s="141" t="n">
        <x:f>B6*C6</x:f>
        <x:v>18000000</x:v>
      </x:c>
      <x:c r="E6" s="141" t="n">
        <x:f>Inputs!M6*Inputs!N6</x:f>
        <x:v>19600000</x:v>
      </x:c>
      <x:c r="F6" s="160" t="n">
        <x:v>1</x:v>
      </x:c>
      <x:c r="G6" s="141" t="n">
        <x:f>E6*F6</x:f>
        <x:v>19600000</x:v>
      </x:c>
      <x:c r="H6" s="141" t="n">
        <x:f>G6-D6</x:f>
        <x:v>1600000</x:v>
      </x:c>
      <x:c r="I6" s="141" t="n">
        <x:f>Inputs!K6</x:f>
        <x:v>180000</x:v>
      </x:c>
      <x:c r="J6" s="141" t="n">
        <x:f>Inputs!O6</x:f>
        <x:v>500000</x:v>
      </x:c>
      <x:c r="K6" s="141" t="n">
        <x:f>MAX(0,-H6)</x:f>
        <x:v>0</x:v>
      </x:c>
      <x:c r="L6" s="141" t="n">
        <x:f>MIN(K6,J6)</x:f>
        <x:v>0</x:v>
      </x:c>
      <x:c r="M6" s="141" t="n">
        <x:f>MAX(0,K6-L6)</x:f>
        <x:v>0</x:v>
      </x:c>
      <x:c r="N6" s="156" t="n">
        <x:v>0</x:v>
      </x:c>
      <x:c r="O6" s="141" t="n">
        <x:f>I6*(1-Settings!$B$13)-N6</x:f>
        <x:v>171000</x:v>
      </x:c>
      <x:c r="P6" s="141" t="n">
        <x:f>MAX(0,M6-N6)</x:f>
        <x:v>0</x:v>
      </x:c>
      <x:c r="Q6" s="141" t="n">
        <x:f>L6*Prices!$E$8*$B$2</x:f>
        <x:v>0</x:v>
      </x:c>
      <x:c r="R6" s="125"/>
      <x:c r="S6" s="125"/>
      <x:c r="T6" s="125"/>
      <x:c r="U6" s="125"/>
    </x:row>
    <x:row r="7" ht="28" customHeight="1">
      <x:c r="A7" s="128" t="str">
        <x:v>Riverlands</x:v>
      </x:c>
      <x:c r="B7" s="141" t="n">
        <x:f>Inputs!C7</x:f>
        <x:v>4000000</x:v>
      </x:c>
      <x:c r="C7" s="193" t="n">
        <x:f>Inputs!L7</x:f>
        <x:v>6</x:v>
      </x:c>
      <x:c r="D7" s="141" t="n">
        <x:f>B7*C7</x:f>
        <x:v>24000000</x:v>
      </x:c>
      <x:c r="E7" s="141" t="n">
        <x:f>Inputs!M7*Inputs!N7</x:f>
        <x:v>22950000</x:v>
      </x:c>
      <x:c r="F7" s="160" t="n">
        <x:v>1</x:v>
      </x:c>
      <x:c r="G7" s="141" t="n">
        <x:f>E7*F7</x:f>
        <x:v>22950000</x:v>
      </x:c>
      <x:c r="H7" s="141" t="n">
        <x:f>G7-D7</x:f>
        <x:v>-1050000</x:v>
      </x:c>
      <x:c r="I7" s="141" t="n">
        <x:f>Inputs!K7</x:f>
        <x:v>150000</x:v>
      </x:c>
      <x:c r="J7" s="141" t="n">
        <x:f>Inputs!O7</x:f>
        <x:v>1200000</x:v>
      </x:c>
      <x:c r="K7" s="141" t="n">
        <x:f>MAX(0,-H7)</x:f>
        <x:v>1050000</x:v>
      </x:c>
      <x:c r="L7" s="141" t="n">
        <x:f>MIN(K7,J7)</x:f>
        <x:v>1050000</x:v>
      </x:c>
      <x:c r="M7" s="141" t="n">
        <x:f>MAX(0,K7-L7)</x:f>
        <x:v>0</x:v>
      </x:c>
      <x:c r="N7" s="156" t="n">
        <x:v>0</x:v>
      </x:c>
      <x:c r="O7" s="141" t="n">
        <x:f>I7*(1-Settings!$B$13)-N7</x:f>
        <x:v>142500</x:v>
      </x:c>
      <x:c r="P7" s="141" t="n">
        <x:f>MAX(0,M7-N7)</x:f>
        <x:v>0</x:v>
      </x:c>
      <x:c r="Q7" s="141" t="n">
        <x:f>L7*Prices!$E$8*$B$2</x:f>
        <x:v>157500</x:v>
      </x:c>
      <x:c r="R7" s="125"/>
      <x:c r="S7" s="125"/>
      <x:c r="T7" s="125"/>
      <x:c r="U7" s="125"/>
    </x:row>
    <x:row r="8" ht="28" customHeight="1">
      <x:c r="A8" s="128" t="str">
        <x:v>Westerlands</x:v>
      </x:c>
      <x:c r="B8" s="141" t="n">
        <x:f>Inputs!C8</x:f>
        <x:v>4500000</x:v>
      </x:c>
      <x:c r="C8" s="193" t="n">
        <x:f>Inputs!L8</x:f>
        <x:v>6</x:v>
      </x:c>
      <x:c r="D8" s="141" t="n">
        <x:f>B8*C8</x:f>
        <x:v>27000000</x:v>
      </x:c>
      <x:c r="E8" s="141" t="n">
        <x:f>Inputs!M8*Inputs!N8</x:f>
        <x:v>27225000</x:v>
      </x:c>
      <x:c r="F8" s="160" t="n">
        <x:v>1</x:v>
      </x:c>
      <x:c r="G8" s="141" t="n">
        <x:f>E8*F8</x:f>
        <x:v>27225000</x:v>
      </x:c>
      <x:c r="H8" s="141" t="n">
        <x:f>G8-D8</x:f>
        <x:v>225000</x:v>
      </x:c>
      <x:c r="I8" s="141" t="n">
        <x:f>Inputs!K8</x:f>
        <x:v>250000</x:v>
      </x:c>
      <x:c r="J8" s="141" t="n">
        <x:f>Inputs!O8</x:f>
        <x:v>1000000</x:v>
      </x:c>
      <x:c r="K8" s="141" t="n">
        <x:f>MAX(0,-H8)</x:f>
        <x:v>0</x:v>
      </x:c>
      <x:c r="L8" s="141" t="n">
        <x:f>MIN(K8,J8)</x:f>
        <x:v>0</x:v>
      </x:c>
      <x:c r="M8" s="141" t="n">
        <x:f>MAX(0,K8-L8)</x:f>
        <x:v>0</x:v>
      </x:c>
      <x:c r="N8" s="156" t="n">
        <x:v>0</x:v>
      </x:c>
      <x:c r="O8" s="141" t="n">
        <x:f>I8*(1-Settings!$B$13)-N8</x:f>
        <x:v>237500</x:v>
      </x:c>
      <x:c r="P8" s="141" t="n">
        <x:f>MAX(0,M8-N8)</x:f>
        <x:v>0</x:v>
      </x:c>
      <x:c r="Q8" s="141" t="n">
        <x:f>L8*Prices!$E$8*$B$2</x:f>
        <x:v>0</x:v>
      </x:c>
      <x:c r="R8" s="125"/>
      <x:c r="S8" s="125"/>
      <x:c r="T8" s="125"/>
      <x:c r="U8" s="125"/>
    </x:row>
    <x:row r="9" ht="28" customHeight="1">
      <x:c r="A9" s="128" t="str">
        <x:v>Reach</x:v>
      </x:c>
      <x:c r="B9" s="141" t="n">
        <x:f>Inputs!C9</x:f>
        <x:v>10000000</x:v>
      </x:c>
      <x:c r="C9" s="193" t="n">
        <x:f>Inputs!L9</x:f>
        <x:v>6</x:v>
      </x:c>
      <x:c r="D9" s="141" t="n">
        <x:f>B9*C9</x:f>
        <x:v>60000000</x:v>
      </x:c>
      <x:c r="E9" s="141" t="n">
        <x:f>Inputs!M9*Inputs!N9</x:f>
        <x:v>71780000</x:v>
      </x:c>
      <x:c r="F9" s="160" t="n">
        <x:v>1</x:v>
      </x:c>
      <x:c r="G9" s="141" t="n">
        <x:f>E9*F9</x:f>
        <x:v>71780000</x:v>
      </x:c>
      <x:c r="H9" s="141" t="n">
        <x:f>G9-D9</x:f>
        <x:v>11780000</x:v>
      </x:c>
      <x:c r="I9" s="141" t="n">
        <x:f>Inputs!K9</x:f>
        <x:v>600000</x:v>
      </x:c>
      <x:c r="J9" s="141" t="n">
        <x:f>Inputs!O9</x:f>
        <x:v>1000000</x:v>
      </x:c>
      <x:c r="K9" s="141" t="n">
        <x:f>MAX(0,-H9)</x:f>
        <x:v>0</x:v>
      </x:c>
      <x:c r="L9" s="141" t="n">
        <x:f>MIN(K9,J9)</x:f>
        <x:v>0</x:v>
      </x:c>
      <x:c r="M9" s="141" t="n">
        <x:f>MAX(0,K9-L9)</x:f>
        <x:v>0</x:v>
      </x:c>
      <x:c r="N9" s="156" t="n">
        <x:v>0</x:v>
      </x:c>
      <x:c r="O9" s="141" t="n">
        <x:f>I9*(1-Settings!$B$13)-N9</x:f>
        <x:v>570000</x:v>
      </x:c>
      <x:c r="P9" s="141" t="n">
        <x:f>MAX(0,M9-N9)</x:f>
        <x:v>0</x:v>
      </x:c>
      <x:c r="Q9" s="141" t="n">
        <x:f>L9*Prices!$E$8*$B$2</x:f>
        <x:v>0</x:v>
      </x:c>
      <x:c r="R9" s="125"/>
      <x:c r="S9" s="125"/>
      <x:c r="T9" s="125"/>
      <x:c r="U9" s="125"/>
    </x:row>
    <x:row r="10" ht="28" customHeight="1">
      <x:c r="A10" s="128" t="str">
        <x:v>Stormlands</x:v>
      </x:c>
      <x:c r="B10" s="141" t="n">
        <x:f>Inputs!C10</x:f>
        <x:v>2000000</x:v>
      </x:c>
      <x:c r="C10" s="193" t="n">
        <x:f>Inputs!L10</x:f>
        <x:v>6</x:v>
      </x:c>
      <x:c r="D10" s="141" t="n">
        <x:f>B10*C10</x:f>
        <x:v>12000000</x:v>
      </x:c>
      <x:c r="E10" s="141" t="n">
        <x:f>Inputs!M10*Inputs!N10</x:f>
        <x:v>10455000</x:v>
      </x:c>
      <x:c r="F10" s="160" t="n">
        <x:v>1</x:v>
      </x:c>
      <x:c r="G10" s="141" t="n">
        <x:f>E10*F10</x:f>
        <x:v>10455000</x:v>
      </x:c>
      <x:c r="H10" s="141" t="n">
        <x:f>G10-D10</x:f>
        <x:v>-1545000</x:v>
      </x:c>
      <x:c r="I10" s="141" t="n">
        <x:f>Inputs!K10</x:f>
        <x:v>60000</x:v>
      </x:c>
      <x:c r="J10" s="141" t="n">
        <x:f>Inputs!O10</x:f>
        <x:v>1600000</x:v>
      </x:c>
      <x:c r="K10" s="141" t="n">
        <x:f>MAX(0,-H10)</x:f>
        <x:v>1545000</x:v>
      </x:c>
      <x:c r="L10" s="141" t="n">
        <x:f>MIN(K10,J10)</x:f>
        <x:v>1545000</x:v>
      </x:c>
      <x:c r="M10" s="141" t="n">
        <x:f>MAX(0,K10-L10)</x:f>
        <x:v>0</x:v>
      </x:c>
      <x:c r="N10" s="156" t="n">
        <x:v>0</x:v>
      </x:c>
      <x:c r="O10" s="141" t="n">
        <x:f>I10*(1-Settings!$B$13)-N10</x:f>
        <x:v>57000</x:v>
      </x:c>
      <x:c r="P10" s="141" t="n">
        <x:f>MAX(0,M10-N10)</x:f>
        <x:v>0</x:v>
      </x:c>
      <x:c r="Q10" s="141" t="n">
        <x:f>L10*Prices!$E$8*$B$2</x:f>
        <x:v>231750</x:v>
      </x:c>
      <x:c r="R10" s="125"/>
      <x:c r="S10" s="125"/>
      <x:c r="T10" s="125"/>
      <x:c r="U10" s="125"/>
    </x:row>
    <x:row r="11" ht="28" customHeight="1">
      <x:c r="A11" s="128" t="str">
        <x:v>Dorne</x:v>
      </x:c>
      <x:c r="B11" s="141" t="n">
        <x:f>Inputs!C11</x:f>
        <x:v>2000000</x:v>
      </x:c>
      <x:c r="C11" s="193" t="n">
        <x:f>Inputs!L11</x:f>
        <x:v>5.5</x:v>
      </x:c>
      <x:c r="D11" s="141" t="n">
        <x:f>B11*C11</x:f>
        <x:v>11000000</x:v>
      </x:c>
      <x:c r="E11" s="141" t="n">
        <x:f>Inputs!M11*Inputs!N11</x:f>
        <x:v>9800000</x:v>
      </x:c>
      <x:c r="F11" s="160" t="n">
        <x:v>1</x:v>
      </x:c>
      <x:c r="G11" s="141" t="n">
        <x:f>E11*F11</x:f>
        <x:v>9800000</x:v>
      </x:c>
      <x:c r="H11" s="141" t="n">
        <x:f>G11-D11</x:f>
        <x:v>-1200000</x:v>
      </x:c>
      <x:c r="I11" s="141" t="n">
        <x:f>Inputs!K11</x:f>
        <x:v>140000</x:v>
      </x:c>
      <x:c r="J11" s="141" t="n">
        <x:f>Inputs!O11</x:f>
        <x:v>1300000</x:v>
      </x:c>
      <x:c r="K11" s="141" t="n">
        <x:f>MAX(0,-H11)</x:f>
        <x:v>1200000</x:v>
      </x:c>
      <x:c r="L11" s="141" t="n">
        <x:f>MIN(K11,J11)</x:f>
        <x:v>1200000</x:v>
      </x:c>
      <x:c r="M11" s="141" t="n">
        <x:f>MAX(0,K11-L11)</x:f>
        <x:v>0</x:v>
      </x:c>
      <x:c r="N11" s="156" t="n">
        <x:v>0</x:v>
      </x:c>
      <x:c r="O11" s="141" t="n">
        <x:f>I11*(1-Settings!$B$13)-N11</x:f>
        <x:v>133000</x:v>
      </x:c>
      <x:c r="P11" s="141" t="n">
        <x:f>MAX(0,M11-N11)</x:f>
        <x:v>0</x:v>
      </x:c>
      <x:c r="Q11" s="141" t="n">
        <x:f>L11*Prices!$E$8*$B$2</x:f>
        <x:v>180000</x:v>
      </x:c>
      <x:c r="R11" s="125"/>
      <x:c r="S11" s="125"/>
      <x:c r="T11" s="125"/>
      <x:c r="U11" s="125"/>
    </x:row>
    <x:row r="12" ht="28" customHeight="1">
      <x:c r="A12" s="128" t="str">
        <x:v>Iron Islands</x:v>
      </x:c>
      <x:c r="B12" s="141" t="n">
        <x:f>Inputs!C12</x:f>
        <x:v>700000</x:v>
      </x:c>
      <x:c r="C12" s="193" t="n">
        <x:f>Inputs!L12</x:f>
        <x:v>3.5</x:v>
      </x:c>
      <x:c r="D12" s="141" t="n">
        <x:f>B12*C12</x:f>
        <x:v>2450000</x:v>
      </x:c>
      <x:c r="E12" s="141" t="n">
        <x:f>Inputs!M12*Inputs!N12</x:f>
        <x:v>1960000</x:v>
      </x:c>
      <x:c r="F12" s="160" t="n">
        <x:v>1</x:v>
      </x:c>
      <x:c r="G12" s="141" t="n">
        <x:f>E12*F12</x:f>
        <x:v>1960000</x:v>
      </x:c>
      <x:c r="H12" s="141" t="n">
        <x:f>G12-D12</x:f>
        <x:v>-490000</x:v>
      </x:c>
      <x:c r="I12" s="141" t="n">
        <x:f>Inputs!K12</x:f>
        <x:v>60000</x:v>
      </x:c>
      <x:c r="J12" s="141" t="n">
        <x:f>Inputs!O12</x:f>
        <x:v>600000</x:v>
      </x:c>
      <x:c r="K12" s="141" t="n">
        <x:f>MAX(0,-H12)</x:f>
        <x:v>490000</x:v>
      </x:c>
      <x:c r="L12" s="141" t="n">
        <x:f>MIN(K12,J12)</x:f>
        <x:v>490000</x:v>
      </x:c>
      <x:c r="M12" s="141" t="n">
        <x:f>MAX(0,K12-L12)</x:f>
        <x:v>0</x:v>
      </x:c>
      <x:c r="N12" s="156" t="n">
        <x:v>0</x:v>
      </x:c>
      <x:c r="O12" s="141" t="n">
        <x:f>I12*(1-Settings!$B$13)-N12</x:f>
        <x:v>57000</x:v>
      </x:c>
      <x:c r="P12" s="141" t="n">
        <x:f>MAX(0,M12-N12)</x:f>
        <x:v>0</x:v>
      </x:c>
      <x:c r="Q12" s="141" t="n">
        <x:f>L12*Prices!$E$8*$B$2</x:f>
        <x:v>73500</x:v>
      </x:c>
      <x:c r="R12" s="125"/>
      <x:c r="S12" s="125"/>
      <x:c r="T12" s="125"/>
      <x:c r="U12" s="125"/>
    </x:row>
    <x:row r="13" ht="28" customHeight="1">
      <x:c r="A13" s="128" t="str">
        <x:v>Crownlands / Crown</x:v>
      </x:c>
      <x:c r="B13" s="141" t="n">
        <x:f>Inputs!C13</x:f>
        <x:v>2000000</x:v>
      </x:c>
      <x:c r="C13" s="193" t="n">
        <x:f>Inputs!L13</x:f>
        <x:v>6</x:v>
      </x:c>
      <x:c r="D13" s="141" t="n">
        <x:f>B13*C13</x:f>
        <x:v>12000000</x:v>
      </x:c>
      <x:c r="E13" s="141" t="n">
        <x:f>Inputs!M13*Inputs!N13</x:f>
        <x:v>7040000</x:v>
      </x:c>
      <x:c r="F13" s="160" t="n">
        <x:v>1</x:v>
      </x:c>
      <x:c r="G13" s="141" t="n">
        <x:f>E13*F13</x:f>
        <x:v>7040000</x:v>
      </x:c>
      <x:c r="H13" s="141" t="n">
        <x:f>G13-D13</x:f>
        <x:v>-4960000</x:v>
      </x:c>
      <x:c r="I13" s="141" t="n">
        <x:f>Inputs!K13</x:f>
        <x:v>300000</x:v>
      </x:c>
      <x:c r="J13" s="141" t="n">
        <x:f>Inputs!O13</x:f>
        <x:v>5200000</x:v>
      </x:c>
      <x:c r="K13" s="141" t="n">
        <x:f>MAX(0,-H13)</x:f>
        <x:v>4960000</x:v>
      </x:c>
      <x:c r="L13" s="141" t="n">
        <x:f>MIN(K13,J13)</x:f>
        <x:v>4960000</x:v>
      </x:c>
      <x:c r="M13" s="141" t="n">
        <x:f>MAX(0,K13-L13)</x:f>
        <x:v>0</x:v>
      </x:c>
      <x:c r="N13" s="156" t="n">
        <x:v>0</x:v>
      </x:c>
      <x:c r="O13" s="141" t="n">
        <x:f>I13*(1-Settings!$B$13)-N13</x:f>
        <x:v>285000</x:v>
      </x:c>
      <x:c r="P13" s="141" t="n">
        <x:f>MAX(0,M13-N13)</x:f>
        <x:v>0</x:v>
      </x:c>
      <x:c r="Q13" s="141" t="n">
        <x:f>L13*Prices!$E$8*$B$2</x:f>
        <x:v>744000</x:v>
      </x:c>
      <x:c r="R13" s="125"/>
      <x:c r="S13" s="125"/>
      <x:c r="T13" s="125"/>
      <x:c r="U13" s="125"/>
    </x:row>
    <x:row r="14" ht="28" customHeight="1">
      <x:c r="A14" s="128" t="str">
        <x:v>TOTAL / NET</x:v>
      </x:c>
      <x:c r="B14" s="144" t="n">
        <x:f>SUM(B5:B13)</x:f>
        <x:v>31700000</x:v>
      </x:c>
      <x:c r="C14" s="144"/>
      <x:c r="D14" s="144" t="n">
        <x:f>SUM(D5:D13)</x:f>
        <x:v>187450000</x:v>
      </x:c>
      <x:c r="E14" s="144" t="n">
        <x:f>SUM(E5:E13)</x:f>
        <x:v>191684000</x:v>
      </x:c>
      <x:c r="F14" s="144"/>
      <x:c r="G14" s="144" t="n">
        <x:f>SUM(G5:G13)</x:f>
        <x:v>191684000</x:v>
      </x:c>
      <x:c r="H14" s="144" t="n">
        <x:f>SUM(H5:H13)</x:f>
        <x:v>4234000</x:v>
      </x:c>
      <x:c r="I14" s="144" t="n">
        <x:f>SUM(I5:I13)</x:f>
        <x:v>1990000</x:v>
      </x:c>
      <x:c r="J14" s="144" t="n">
        <x:f>SUM(J5:J13)</x:f>
        <x:v>12700000</x:v>
      </x:c>
      <x:c r="K14" s="144" t="n">
        <x:f>SUM(K5:K13)</x:f>
        <x:v>9371000</x:v>
      </x:c>
      <x:c r="L14" s="144" t="n">
        <x:f>SUM(L5:L13)</x:f>
        <x:v>9371000</x:v>
      </x:c>
      <x:c r="M14" s="144" t="n">
        <x:f>SUM(M5:M13)</x:f>
        <x:v>0</x:v>
      </x:c>
      <x:c r="N14" s="144" t="n">
        <x:f>SUM(N5:N13)</x:f>
        <x:v>0</x:v>
      </x:c>
      <x:c r="O14" s="144" t="n">
        <x:f>SUM(O5:O13)</x:f>
        <x:v>1890500</x:v>
      </x:c>
      <x:c r="P14" s="144" t="n">
        <x:f>SUM(P5:P13)</x:f>
        <x:v>0</x:v>
      </x:c>
      <x:c r="Q14" s="144" t="n">
        <x:f>SUM(Q5:Q13)</x:f>
        <x:v>1405650</x:v>
      </x:c>
      <x:c r="R14" s="125"/>
      <x:c r="S14" s="125"/>
      <x:c r="T14" s="125"/>
      <x:c r="U14" s="125"/>
    </x:row>
    <x:row r="15" ht="28" customHeight="1">
      <x:c r="A15" s="128"/>
      <x:c r="B15" s="128"/>
      <x:c r="C15" s="128"/>
      <x:c r="D15" s="128"/>
      <x:c r="E15" s="128"/>
      <x:c r="F15" s="128"/>
      <x:c r="G15" s="128"/>
      <x:c r="H15" s="128"/>
      <x:c r="I15" s="128"/>
      <x:c r="J15" s="128"/>
      <x:c r="K15" s="128"/>
      <x:c r="L15" s="128"/>
      <x:c r="M15" s="128"/>
      <x:c r="N15" s="128"/>
      <x:c r="O15" s="128"/>
      <x:c r="P15" s="128"/>
      <x:c r="Q15" s="128"/>
      <x:c r="R15" s="125"/>
      <x:c r="S15" s="125"/>
      <x:c r="T15" s="125"/>
      <x:c r="U15" s="125"/>
    </x:row>
    <x:row r="16" ht="28" customHeight="1">
      <x:c r="A16" s="131" t="str">
        <x:v>Net grain supply is after seed, animal feed and ordinary crop losses. Public-store spoilage is separate. Imports require an actual seller, route and available ships.</x:v>
      </x:c>
      <x:c r="B16" s="131"/>
      <x:c r="C16" s="131"/>
      <x:c r="D16" s="131"/>
      <x:c r="E16" s="131"/>
      <x:c r="F16" s="131"/>
      <x:c r="G16" s="131"/>
      <x:c r="H16" s="131"/>
      <x:c r="I16" s="131"/>
      <x:c r="J16" s="131"/>
      <x:c r="K16" s="131"/>
      <x:c r="L16" s="131"/>
      <x:c r="M16" s="131"/>
      <x:c r="N16" s="131"/>
      <x:c r="O16" s="131"/>
      <x:c r="P16" s="131"/>
      <x:c r="Q16" s="131"/>
      <x:c r="R16" s="125"/>
      <x:c r="S16" s="125"/>
      <x:c r="T16" s="125"/>
      <x:c r="U16" s="125"/>
    </x:row>
    <x:row r="17" ht="28" customHeight="1">
      <x:c r="A17" s="131" t="str">
        <x:v>Capacity-limited imports are a ceiling, not executed contracts. The regional import totals are not matched trade transactions; approve origin, destination and logistics in play.</x:v>
      </x:c>
      <x:c r="B17" s="131"/>
      <x:c r="C17" s="131"/>
      <x:c r="D17" s="131"/>
      <x:c r="E17" s="131"/>
      <x:c r="F17" s="131"/>
      <x:c r="G17" s="131"/>
      <x:c r="H17" s="131"/>
      <x:c r="I17" s="131"/>
      <x:c r="J17" s="131"/>
      <x:c r="K17" s="131"/>
      <x:c r="L17" s="131"/>
      <x:c r="M17" s="131"/>
      <x:c r="N17" s="131"/>
      <x:c r="O17" s="131"/>
      <x:c r="P17" s="131"/>
      <x:c r="Q17" s="131"/>
      <x:c r="R17" s="125"/>
      <x:c r="S17" s="125"/>
      <x:c r="T17" s="125"/>
      <x:c r="U17" s="125"/>
    </x:row>
    <x:row r="18" ht="35" customHeight="1">
      <x:c r="A18" s="131" t="str">
        <x:v>A food gap is not a death count. Local stores, other foods, displacement, prices and relief change outcomes. Private household stocks are outside this public reserve ledger.</x:v>
      </x:c>
      <x:c r="B18" s="131"/>
      <x:c r="C18" s="131"/>
      <x:c r="D18" s="131"/>
      <x:c r="E18" s="131"/>
      <x:c r="F18" s="131"/>
      <x:c r="G18" s="131"/>
      <x:c r="H18" s="131"/>
      <x:c r="I18" s="131"/>
      <x:c r="J18" s="131"/>
      <x:c r="K18" s="131"/>
      <x:c r="L18" s="131"/>
      <x:c r="M18" s="131"/>
      <x:c r="N18" s="131"/>
      <x:c r="O18" s="131"/>
      <x:c r="P18" s="131"/>
      <x:c r="Q18" s="131"/>
      <x:c r="R18" s="125"/>
      <x:c r="S18" s="125"/>
      <x:c r="T18" s="125"/>
      <x:c r="U18" s="125"/>
    </x:row>
    <x:row r="19" ht="22" customHeight="1">
      <x:c r="A19" s="128"/>
      <x:c r="B19" s="128"/>
      <x:c r="C19" s="128"/>
      <x:c r="D19" s="128"/>
      <x:c r="E19" s="128"/>
      <x:c r="F19" s="128"/>
      <x:c r="G19" s="128"/>
      <x:c r="H19" s="128"/>
      <x:c r="I19" s="128"/>
      <x:c r="J19" s="128"/>
      <x:c r="K19" s="128"/>
      <x:c r="L19" s="128"/>
      <x:c r="M19" s="128"/>
      <x:c r="N19" s="128"/>
      <x:c r="O19" s="128"/>
      <x:c r="P19" s="128"/>
      <x:c r="Q19" s="128"/>
      <x:c r="R19" s="125"/>
      <x:c r="S19" s="125"/>
      <x:c r="T19" s="125"/>
      <x:c r="U19" s="125"/>
    </x:row>
    <x:row r="20">
      <x:c r="A20" s="125"/>
      <x:c r="B20" s="125"/>
      <x:c r="C20" s="125"/>
      <x:c r="D20" s="125"/>
      <x:c r="E20" s="125"/>
      <x:c r="F20" s="125"/>
      <x:c r="G20" s="125"/>
      <x:c r="H20" s="125"/>
      <x:c r="I20" s="125"/>
      <x:c r="J20" s="125"/>
      <x:c r="K20" s="125"/>
      <x:c r="L20" s="125"/>
      <x:c r="M20" s="125"/>
      <x:c r="N20" s="125"/>
      <x:c r="O20" s="125"/>
      <x:c r="P20" s="125"/>
      <x:c r="Q20" s="125"/>
      <x:c r="R20" s="125"/>
      <x:c r="S20" s="125"/>
      <x:c r="T20" s="125"/>
      <x:c r="U20" s="125"/>
    </x:row>
    <x:row r="21">
      <x:c r="A21" s="125"/>
      <x:c r="B21" s="125"/>
      <x:c r="C21" s="125"/>
      <x:c r="D21" s="125"/>
      <x:c r="E21" s="125"/>
      <x:c r="F21" s="125"/>
      <x:c r="G21" s="125"/>
      <x:c r="H21" s="125"/>
      <x:c r="I21" s="125"/>
      <x:c r="J21" s="125"/>
      <x:c r="K21" s="125"/>
      <x:c r="L21" s="125"/>
      <x:c r="M21" s="125"/>
      <x:c r="N21" s="125"/>
      <x:c r="O21" s="125"/>
      <x:c r="P21" s="125"/>
      <x:c r="Q21" s="125"/>
      <x:c r="R21" s="125"/>
      <x:c r="S21" s="125"/>
      <x:c r="T21" s="125"/>
      <x:c r="U21" s="125"/>
    </x:row>
  </x:sheetData>
  <x:mergeCells>
    <x:mergeCell ref="A1:Q1"/>
    <x:mergeCell ref="D2:Q2"/>
    <x:mergeCell ref="A16:Q16"/>
    <x:mergeCell ref="A17:Q17"/>
    <x:mergeCell ref="A18:Q18"/>
  </x:mergeCells>
  <x:pageMargins left="0.7" right="0.7" top="0.75" bottom="0.75" header="0.3" footer="0.3"/>
  <x:legacyDrawing xmlns:r="http://schemas.openxmlformats.org/officeDocument/2006/relationships" r:id="R6f47c51217b741c9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124" t="str">
        <x:v>Monthly cash bridge | 12 turns from the late-283 opening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</x:row>
    <x:row r="2">
      <x:c r="A2" s="125"/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</x:row>
    <x:row r="4" ht="38" customHeight="1">
      <x:c r="A4" s="140" t="str">
        <x:v>Region</x:v>
      </x:c>
      <x:c r="B4" s="140" t="str">
        <x:v>Turn</x:v>
      </x:c>
      <x:c r="C4" s="140" t="str">
        <x:v>Opening cash G</x:v>
      </x:c>
      <x:c r="D4" s="140" t="str">
        <x:v>Own receipts G</x:v>
      </x:c>
      <x:c r="E4" s="140" t="str">
        <x:v>Transfers in G</x:v>
      </x:c>
      <x:c r="F4" s="140" t="str">
        <x:v>Ordinary local out G</x:v>
      </x:c>
      <x:c r="G4" s="140" t="str">
        <x:v>Crown payment G</x:v>
      </x:c>
      <x:c r="H4" s="140" t="str">
        <x:v>Extraordinary out G</x:v>
      </x:c>
      <x:c r="I4" s="140" t="str">
        <x:v>New borrowing G</x:v>
      </x:c>
      <x:c r="J4" s="140" t="str">
        <x:v>Principal paid G</x:v>
      </x:c>
      <x:c r="K4" s="140" t="str">
        <x:v>Closing cash G</x:v>
      </x:c>
      <x:c r="L4" s="140" t="str">
        <x:v>Status</x:v>
      </x:c>
    </x:row>
    <x:row r="5" ht="28" customHeight="1">
      <x:c r="A5" s="128" t="str">
        <x:v>North</x:v>
      </x:c>
      <x:c r="B5" s="128" t="n">
        <x:v>1</x:v>
      </x:c>
      <x:c r="C5" s="187" t="n">
        <x:f>Inputs!E5</x:f>
        <x:v>500000</x:v>
      </x:c>
      <x:c r="D5" s="187" t="n">
        <x:f>((Income!B5*Income!$B$2+Income!C5*Income!$C$2)*Settings!B25+SUMPRODUCT(Income!D5:G5,Income!$D$2:$G$2)/12)*Inputs!P5+Income!N5/12</x:f>
        <x:v>16494.545454545456</x:v>
      </x:c>
      <x:c r="E5" s="187" t="n">
        <x:f>Income!I5*Settings!C25</x:f>
        <x:v>0</x:v>
      </x:c>
      <x:c r="F5" s="187" t="n">
        <x:f>(Outlays!K5-Outlays!J5+Outlays!Q5)/12</x:f>
        <x:v>15416.666666666666</x:v>
      </x:c>
      <x:c r="G5" s="187" t="n">
        <x:f>Outlays!J5*Settings!C25</x:f>
        <x:v>0</x:v>
      </x:c>
      <x:c r="H5" s="187" t="n">
        <x:f>SUM(Outlays!L5:M5)*Settings!D25</x:f>
        <x:v>6000</x:v>
      </x:c>
      <x:c r="I5" s="187" t="n">
        <x:f>Debt!H5</x:f>
        <x:v>0</x:v>
      </x:c>
      <x:c r="J5" s="187" t="n">
        <x:f>0</x:f>
        <x:v>0</x:v>
      </x:c>
      <x:c r="K5" s="187" t="n">
        <x:f>C5+D5+E5-F5-G5-H5+I5-J5</x:f>
        <x:v>495077.8787878788</x:v>
      </x:c>
      <x:c r="L5" s="198" t="str">
        <x:f>IF(K5&lt;0,"UNFUNDED","Funded")</x:f>
        <x:v>Funded</x:v>
      </x:c>
    </x:row>
    <x:row r="6" ht="28" customHeight="1">
      <x:c r="A6" s="128" t="str">
        <x:v>North</x:v>
      </x:c>
      <x:c r="B6" s="128" t="n">
        <x:v>2</x:v>
      </x:c>
      <x:c r="C6" s="187" t="n">
        <x:f>K5</x:f>
        <x:v>495077.8787878788</x:v>
      </x:c>
      <x:c r="D6" s="187" t="n">
        <x:f>((Income!B5*Income!$B$2+Income!C5*Income!$C$2)*Settings!B26+SUMPRODUCT(Income!D5:G5,Income!$D$2:$G$2)/12)*Inputs!P5+Income!N5/12</x:f>
        <x:v>16494.545454545456</x:v>
      </x:c>
      <x:c r="E6" s="187" t="n">
        <x:f>Income!I5*Settings!C26</x:f>
        <x:v>0</x:v>
      </x:c>
      <x:c r="F6" s="187" t="n">
        <x:f>(Outlays!K5-Outlays!J5+Outlays!Q5)/12</x:f>
        <x:v>15416.666666666666</x:v>
      </x:c>
      <x:c r="G6" s="187" t="n">
        <x:f>Outlays!J5*Settings!C26</x:f>
        <x:v>0</x:v>
      </x:c>
      <x:c r="H6" s="187" t="n">
        <x:f>SUM(Outlays!L5:M5)*Settings!D26</x:f>
        <x:v>6000</x:v>
      </x:c>
      <x:c r="I6" s="187" t="n">
        <x:f>0</x:f>
        <x:v>0</x:v>
      </x:c>
      <x:c r="J6" s="187" t="n">
        <x:f>0</x:f>
        <x:v>0</x:v>
      </x:c>
      <x:c r="K6" s="187" t="n">
        <x:f>C6+D6+E6-F6-G6-H6+I6-J6</x:f>
        <x:v>490155.75757575757</x:v>
      </x:c>
      <x:c r="L6" s="198" t="str">
        <x:f>IF(K6&lt;0,"UNFUNDED","Funded")</x:f>
        <x:v>Funded</x:v>
      </x:c>
    </x:row>
    <x:row r="7" ht="28" customHeight="1">
      <x:c r="A7" s="128" t="str">
        <x:v>North</x:v>
      </x:c>
      <x:c r="B7" s="128" t="n">
        <x:v>3</x:v>
      </x:c>
      <x:c r="C7" s="187" t="n">
        <x:f>K6</x:f>
        <x:v>490155.75757575757</x:v>
      </x:c>
      <x:c r="D7" s="187" t="n">
        <x:f>((Income!B5*Income!$B$2+Income!C5*Income!$C$2)*Settings!B27+SUMPRODUCT(Income!D5:G5,Income!$D$2:$G$2)/12)*Inputs!P5+Income!N5/12</x:f>
        <x:v>16494.545454545456</x:v>
      </x:c>
      <x:c r="E7" s="187" t="n">
        <x:f>Income!I5*Settings!C27</x:f>
        <x:v>0</x:v>
      </x:c>
      <x:c r="F7" s="187" t="n">
        <x:f>(Outlays!K5-Outlays!J5+Outlays!Q5)/12</x:f>
        <x:v>15416.666666666666</x:v>
      </x:c>
      <x:c r="G7" s="187" t="n">
        <x:f>Outlays!J5*Settings!C27</x:f>
        <x:v>8750</x:v>
      </x:c>
      <x:c r="H7" s="187" t="n">
        <x:f>SUM(Outlays!L5:M5)*Settings!D27</x:f>
        <x:v>4000</x:v>
      </x:c>
      <x:c r="I7" s="187" t="n">
        <x:f>0</x:f>
        <x:v>0</x:v>
      </x:c>
      <x:c r="J7" s="187" t="n">
        <x:f>0</x:f>
        <x:v>0</x:v>
      </x:c>
      <x:c r="K7" s="187" t="n">
        <x:f>C7+D7+E7-F7-G7-H7+I7-J7</x:f>
        <x:v>478483.63636363635</x:v>
      </x:c>
      <x:c r="L7" s="198" t="str">
        <x:f>IF(K7&lt;0,"UNFUNDED","Funded")</x:f>
        <x:v>Funded</x:v>
      </x:c>
    </x:row>
    <x:row r="8" ht="28" customHeight="1">
      <x:c r="A8" s="128" t="str">
        <x:v>North</x:v>
      </x:c>
      <x:c r="B8" s="128" t="n">
        <x:v>4</x:v>
      </x:c>
      <x:c r="C8" s="187" t="n">
        <x:f>K7</x:f>
        <x:v>478483.63636363635</x:v>
      </x:c>
      <x:c r="D8" s="187" t="n">
        <x:f>((Income!B5*Income!$B$2+Income!C5*Income!$C$2)*Settings!B28+SUMPRODUCT(Income!D5:G5,Income!$D$2:$G$2)/12)*Inputs!P5+Income!N5/12</x:f>
        <x:v>16494.545454545456</x:v>
      </x:c>
      <x:c r="E8" s="187" t="n">
        <x:f>Income!I5*Settings!C28</x:f>
        <x:v>0</x:v>
      </x:c>
      <x:c r="F8" s="187" t="n">
        <x:f>(Outlays!K5-Outlays!J5+Outlays!Q5)/12</x:f>
        <x:v>15416.666666666666</x:v>
      </x:c>
      <x:c r="G8" s="187" t="n">
        <x:f>Outlays!J5*Settings!C28</x:f>
        <x:v>0</x:v>
      </x:c>
      <x:c r="H8" s="187" t="n">
        <x:f>SUM(Outlays!L5:M5)*Settings!D28</x:f>
        <x:v>4000</x:v>
      </x:c>
      <x:c r="I8" s="187" t="n">
        <x:f>0</x:f>
        <x:v>0</x:v>
      </x:c>
      <x:c r="J8" s="187" t="n">
        <x:f>0</x:f>
        <x:v>0</x:v>
      </x:c>
      <x:c r="K8" s="187" t="n">
        <x:f>C8+D8+E8-F8-G8-H8+I8-J8</x:f>
        <x:v>475561.51515151514</x:v>
      </x:c>
      <x:c r="L8" s="198" t="str">
        <x:f>IF(K8&lt;0,"UNFUNDED","Funded")</x:f>
        <x:v>Funded</x:v>
      </x:c>
    </x:row>
    <x:row r="9" ht="28" customHeight="1">
      <x:c r="A9" s="128" t="str">
        <x:v>North</x:v>
      </x:c>
      <x:c r="B9" s="128" t="n">
        <x:v>5</x:v>
      </x:c>
      <x:c r="C9" s="187" t="n">
        <x:f>K8</x:f>
        <x:v>475561.51515151514</x:v>
      </x:c>
      <x:c r="D9" s="187" t="n">
        <x:f>((Income!B5*Income!$B$2+Income!C5*Income!$C$2)*Settings!B29+SUMPRODUCT(Income!D5:G5,Income!$D$2:$G$2)/12)*Inputs!P5+Income!N5/12</x:f>
        <x:v>16494.545454545456</x:v>
      </x:c>
      <x:c r="E9" s="187" t="n">
        <x:f>Income!I5*Settings!C29</x:f>
        <x:v>0</x:v>
      </x:c>
      <x:c r="F9" s="187" t="n">
        <x:f>(Outlays!K5-Outlays!J5+Outlays!Q5)/12</x:f>
        <x:v>15416.666666666666</x:v>
      </x:c>
      <x:c r="G9" s="187" t="n">
        <x:f>Outlays!J5*Settings!C29</x:f>
        <x:v>0</x:v>
      </x:c>
      <x:c r="H9" s="187" t="n">
        <x:f>SUM(Outlays!L5:M5)*Settings!D29</x:f>
        <x:v>4000</x:v>
      </x:c>
      <x:c r="I9" s="187" t="n">
        <x:f>0</x:f>
        <x:v>0</x:v>
      </x:c>
      <x:c r="J9" s="187" t="n">
        <x:f>0</x:f>
        <x:v>0</x:v>
      </x:c>
      <x:c r="K9" s="187" t="n">
        <x:f>C9+D9+E9-F9-G9-H9+I9-J9</x:f>
        <x:v>472639.3939393939</x:v>
      </x:c>
      <x:c r="L9" s="198" t="str">
        <x:f>IF(K9&lt;0,"UNFUNDED","Funded")</x:f>
        <x:v>Funded</x:v>
      </x:c>
    </x:row>
    <x:row r="10" ht="28" customHeight="1">
      <x:c r="A10" s="128" t="str">
        <x:v>North</x:v>
      </x:c>
      <x:c r="B10" s="128" t="n">
        <x:v>6</x:v>
      </x:c>
      <x:c r="C10" s="187" t="n">
        <x:f>K9</x:f>
        <x:v>472639.3939393939</x:v>
      </x:c>
      <x:c r="D10" s="187" t="n">
        <x:f>((Income!B5*Income!$B$2+Income!C5*Income!$C$2)*Settings!B30+SUMPRODUCT(Income!D5:G5,Income!$D$2:$G$2)/12)*Inputs!P5+Income!N5/12</x:f>
        <x:v>25963.636363636368</x:v>
      </x:c>
      <x:c r="E10" s="187" t="n">
        <x:f>Income!I5*Settings!C30</x:f>
        <x:v>0</x:v>
      </x:c>
      <x:c r="F10" s="187" t="n">
        <x:f>(Outlays!K5-Outlays!J5+Outlays!Q5)/12</x:f>
        <x:v>15416.666666666666</x:v>
      </x:c>
      <x:c r="G10" s="187" t="n">
        <x:f>Outlays!J5*Settings!C30</x:f>
        <x:v>8750</x:v>
      </x:c>
      <x:c r="H10" s="187" t="n">
        <x:f>SUM(Outlays!L5:M5)*Settings!D30</x:f>
        <x:v>4000</x:v>
      </x:c>
      <x:c r="I10" s="187" t="n">
        <x:f>0</x:f>
        <x:v>0</x:v>
      </x:c>
      <x:c r="J10" s="187" t="n">
        <x:f>0</x:f>
        <x:v>0</x:v>
      </x:c>
      <x:c r="K10" s="187" t="n">
        <x:f>C10+D10+E10-F10-G10-H10+I10-J10</x:f>
        <x:v>470436.3636363636</x:v>
      </x:c>
      <x:c r="L10" s="198" t="str">
        <x:f>IF(K10&lt;0,"UNFUNDED","Funded")</x:f>
        <x:v>Funded</x:v>
      </x:c>
    </x:row>
    <x:row r="11" ht="28" customHeight="1">
      <x:c r="A11" s="128" t="str">
        <x:v>North</x:v>
      </x:c>
      <x:c r="B11" s="128" t="n">
        <x:v>7</x:v>
      </x:c>
      <x:c r="C11" s="187" t="n">
        <x:f>K10</x:f>
        <x:v>470436.3636363636</x:v>
      </x:c>
      <x:c r="D11" s="187" t="n">
        <x:f>((Income!B5*Income!$B$2+Income!C5*Income!$C$2)*Settings!B31+SUMPRODUCT(Income!D5:G5,Income!$D$2:$G$2)/12)*Inputs!P5+Income!N5/12</x:f>
        <x:v>16494.545454545456</x:v>
      </x:c>
      <x:c r="E11" s="187" t="n">
        <x:f>Income!I5*Settings!C31</x:f>
        <x:v>0</x:v>
      </x:c>
      <x:c r="F11" s="187" t="n">
        <x:f>(Outlays!K5-Outlays!J5+Outlays!Q5)/12</x:f>
        <x:v>15416.666666666666</x:v>
      </x:c>
      <x:c r="G11" s="187" t="n">
        <x:f>Outlays!J5*Settings!C31</x:f>
        <x:v>0</x:v>
      </x:c>
      <x:c r="H11" s="187" t="n">
        <x:f>SUM(Outlays!L5:M5)*Settings!D31</x:f>
        <x:v>2000</x:v>
      </x:c>
      <x:c r="I11" s="187" t="n">
        <x:f>0</x:f>
        <x:v>0</x:v>
      </x:c>
      <x:c r="J11" s="187" t="n">
        <x:f>0</x:f>
        <x:v>0</x:v>
      </x:c>
      <x:c r="K11" s="187" t="n">
        <x:f>C11+D11+E11-F11-G11-H11+I11-J11</x:f>
        <x:v>469514.2424242424</x:v>
      </x:c>
      <x:c r="L11" s="198" t="str">
        <x:f>IF(K11&lt;0,"UNFUNDED","Funded")</x:f>
        <x:v>Funded</x:v>
      </x:c>
    </x:row>
    <x:row r="12" ht="28" customHeight="1">
      <x:c r="A12" s="128" t="str">
        <x:v>North</x:v>
      </x:c>
      <x:c r="B12" s="128" t="n">
        <x:v>8</x:v>
      </x:c>
      <x:c r="C12" s="187" t="n">
        <x:f>K11</x:f>
        <x:v>469514.2424242424</x:v>
      </x:c>
      <x:c r="D12" s="187" t="n">
        <x:f>((Income!B5*Income!$B$2+Income!C5*Income!$C$2)*Settings!B32+SUMPRODUCT(Income!D5:G5,Income!$D$2:$G$2)/12)*Inputs!P5+Income!N5/12</x:f>
        <x:v>16494.545454545456</x:v>
      </x:c>
      <x:c r="E12" s="187" t="n">
        <x:f>Income!I5*Settings!C32</x:f>
        <x:v>0</x:v>
      </x:c>
      <x:c r="F12" s="187" t="n">
        <x:f>(Outlays!K5-Outlays!J5+Outlays!Q5)/12</x:f>
        <x:v>15416.666666666666</x:v>
      </x:c>
      <x:c r="G12" s="187" t="n">
        <x:f>Outlays!J5*Settings!C32</x:f>
        <x:v>0</x:v>
      </x:c>
      <x:c r="H12" s="187" t="n">
        <x:f>SUM(Outlays!L5:M5)*Settings!D32</x:f>
        <x:v>2000</x:v>
      </x:c>
      <x:c r="I12" s="187" t="n">
        <x:f>0</x:f>
        <x:v>0</x:v>
      </x:c>
      <x:c r="J12" s="187" t="n">
        <x:f>0</x:f>
        <x:v>0</x:v>
      </x:c>
      <x:c r="K12" s="187" t="n">
        <x:f>C12+D12+E12-F12-G12-H12+I12-J12</x:f>
        <x:v>468592.12121212116</x:v>
      </x:c>
      <x:c r="L12" s="198" t="str">
        <x:f>IF(K12&lt;0,"UNFUNDED","Funded")</x:f>
        <x:v>Funded</x:v>
      </x:c>
    </x:row>
    <x:row r="13" ht="28" customHeight="1">
      <x:c r="A13" s="128" t="str">
        <x:v>North</x:v>
      </x:c>
      <x:c r="B13" s="128" t="n">
        <x:v>9</x:v>
      </x:c>
      <x:c r="C13" s="187" t="n">
        <x:f>K12</x:f>
        <x:v>468592.12121212116</x:v>
      </x:c>
      <x:c r="D13" s="187" t="n">
        <x:f>((Income!B5*Income!$B$2+Income!C5*Income!$C$2)*Settings!B33+SUMPRODUCT(Income!D5:G5,Income!$D$2:$G$2)/12)*Inputs!P5+Income!N5/12</x:f>
        <x:v>65418.181818181816</x:v>
      </x:c>
      <x:c r="E13" s="187" t="n">
        <x:f>Income!I5*Settings!C33</x:f>
        <x:v>0</x:v>
      </x:c>
      <x:c r="F13" s="187" t="n">
        <x:f>(Outlays!K5-Outlays!J5+Outlays!Q5)/12</x:f>
        <x:v>15416.666666666666</x:v>
      </x:c>
      <x:c r="G13" s="187" t="n">
        <x:f>Outlays!J5*Settings!C33</x:f>
        <x:v>8750</x:v>
      </x:c>
      <x:c r="H13" s="187" t="n">
        <x:f>SUM(Outlays!L5:M5)*Settings!D33</x:f>
        <x:v>2000</x:v>
      </x:c>
      <x:c r="I13" s="187" t="n">
        <x:f>0</x:f>
        <x:v>0</x:v>
      </x:c>
      <x:c r="J13" s="187" t="n">
        <x:f>0</x:f>
        <x:v>0</x:v>
      </x:c>
      <x:c r="K13" s="187" t="n">
        <x:f>C13+D13+E13-F13-G13-H13+I13-J13</x:f>
        <x:v>507843.6363636363</x:v>
      </x:c>
      <x:c r="L13" s="198" t="str">
        <x:f>IF(K13&lt;0,"UNFUNDED","Funded")</x:f>
        <x:v>Funded</x:v>
      </x:c>
    </x:row>
    <x:row r="14" ht="28" customHeight="1">
      <x:c r="A14" s="128" t="str">
        <x:v>North</x:v>
      </x:c>
      <x:c r="B14" s="128" t="n">
        <x:v>10</x:v>
      </x:c>
      <x:c r="C14" s="187" t="n">
        <x:f>K13</x:f>
        <x:v>507843.6363636363</x:v>
      </x:c>
      <x:c r="D14" s="187" t="n">
        <x:f>((Income!B5*Income!$B$2+Income!C5*Income!$C$2)*Settings!B34+SUMPRODUCT(Income!D5:G5,Income!$D$2:$G$2)/12)*Inputs!P5+Income!N5/12</x:f>
        <x:v>33854.545454545456</x:v>
      </x:c>
      <x:c r="E14" s="187" t="n">
        <x:f>Income!I5*Settings!C34</x:f>
        <x:v>0</x:v>
      </x:c>
      <x:c r="F14" s="187" t="n">
        <x:f>(Outlays!K5-Outlays!J5+Outlays!Q5)/12</x:f>
        <x:v>15416.666666666666</x:v>
      </x:c>
      <x:c r="G14" s="187" t="n">
        <x:f>Outlays!J5*Settings!C34</x:f>
        <x:v>0</x:v>
      </x:c>
      <x:c r="H14" s="187" t="n">
        <x:f>SUM(Outlays!L5:M5)*Settings!D34</x:f>
        <x:v>2000</x:v>
      </x:c>
      <x:c r="I14" s="187" t="n">
        <x:f>0</x:f>
        <x:v>0</x:v>
      </x:c>
      <x:c r="J14" s="187" t="n">
        <x:f>0</x:f>
        <x:v>0</x:v>
      </x:c>
      <x:c r="K14" s="187" t="n">
        <x:f>C14+D14+E14-F14-G14-H14+I14-J14</x:f>
        <x:v>524281.51515151514</x:v>
      </x:c>
      <x:c r="L14" s="198" t="str">
        <x:f>IF(K14&lt;0,"UNFUNDED","Funded")</x:f>
        <x:v>Funded</x:v>
      </x:c>
    </x:row>
    <x:row r="15" ht="28" customHeight="1">
      <x:c r="A15" s="128" t="str">
        <x:v>North</x:v>
      </x:c>
      <x:c r="B15" s="128" t="n">
        <x:v>11</x:v>
      </x:c>
      <x:c r="C15" s="187" t="n">
        <x:f>K14</x:f>
        <x:v>524281.51515151514</x:v>
      </x:c>
      <x:c r="D15" s="187" t="n">
        <x:f>((Income!B5*Income!$B$2+Income!C5*Income!$C$2)*Settings!B35+SUMPRODUCT(Income!D5:G5,Income!$D$2:$G$2)/12)*Inputs!P5+Income!N5/12</x:f>
        <x:v>16494.545454545456</x:v>
      </x:c>
      <x:c r="E15" s="187" t="n">
        <x:f>Income!I5*Settings!C35</x:f>
        <x:v>0</x:v>
      </x:c>
      <x:c r="F15" s="187" t="n">
        <x:f>(Outlays!K5-Outlays!J5+Outlays!Q5)/12</x:f>
        <x:v>15416.666666666666</x:v>
      </x:c>
      <x:c r="G15" s="187" t="n">
        <x:f>Outlays!J5*Settings!C35</x:f>
        <x:v>0</x:v>
      </x:c>
      <x:c r="H15" s="187" t="n">
        <x:f>SUM(Outlays!L5:M5)*Settings!D35</x:f>
        <x:v>2000</x:v>
      </x:c>
      <x:c r="I15" s="187" t="n">
        <x:f>0</x:f>
        <x:v>0</x:v>
      </x:c>
      <x:c r="J15" s="187" t="n">
        <x:f>0</x:f>
        <x:v>0</x:v>
      </x:c>
      <x:c r="K15" s="187" t="n">
        <x:f>C15+D15+E15-F15-G15-H15+I15-J15</x:f>
        <x:v>523359.3939393939</x:v>
      </x:c>
      <x:c r="L15" s="198" t="str">
        <x:f>IF(K15&lt;0,"UNFUNDED","Funded")</x:f>
        <x:v>Funded</x:v>
      </x:c>
    </x:row>
    <x:row r="16" ht="28" customHeight="1">
      <x:c r="A16" s="199" t="str">
        <x:v>North</x:v>
      </x:c>
      <x:c r="B16" s="199" t="n">
        <x:v>12</x:v>
      </x:c>
      <x:c r="C16" s="200" t="n">
        <x:f>K15</x:f>
        <x:v>523359.3939393939</x:v>
      </x:c>
      <x:c r="D16" s="200" t="n">
        <x:f>((Income!B5*Income!$B$2+Income!C5*Income!$C$2)*Settings!B36+SUMPRODUCT(Income!D5:G5,Income!$D$2:$G$2)/12)*Inputs!P5+Income!N5/12</x:f>
        <x:v>22807.272727272728</x:v>
      </x:c>
      <x:c r="E16" s="200" t="n">
        <x:f>Income!I5*Settings!C36</x:f>
        <x:v>0</x:v>
      </x:c>
      <x:c r="F16" s="200" t="n">
        <x:f>(Outlays!K5-Outlays!J5+Outlays!Q5)/12</x:f>
        <x:v>15416.666666666666</x:v>
      </x:c>
      <x:c r="G16" s="200" t="n">
        <x:f>Outlays!J5*Settings!C36</x:f>
        <x:v>8750</x:v>
      </x:c>
      <x:c r="H16" s="200" t="n">
        <x:f>SUM(Outlays!L5:M5)*Settings!D36</x:f>
        <x:v>2000</x:v>
      </x:c>
      <x:c r="I16" s="200" t="n">
        <x:f>0</x:f>
        <x:v>0</x:v>
      </x:c>
      <x:c r="J16" s="200" t="n">
        <x:f>Debt!G5</x:f>
        <x:v>10000</x:v>
      </x:c>
      <x:c r="K16" s="200" t="n">
        <x:f>C16+D16+E16-F16-G16-H16+I16-J16</x:f>
        <x:v>510000</x:v>
      </x:c>
      <x:c r="L16" s="201" t="str">
        <x:f>IF(K16&lt;0,"UNFUNDED","Funded")</x:f>
        <x:v>Funded</x:v>
      </x:c>
    </x:row>
    <x:row r="17" ht="28" customHeight="1">
      <x:c r="A17" s="128" t="str">
        <x:v>Vale</x:v>
      </x:c>
      <x:c r="B17" s="128" t="n">
        <x:v>1</x:v>
      </x:c>
      <x:c r="C17" s="187" t="n">
        <x:f>Inputs!E6</x:f>
        <x:v>1500000</x:v>
      </x:c>
      <x:c r="D17" s="187" t="n">
        <x:f>((Income!B6*Income!$B$2+Income!C6*Income!$C$2)*Settings!B25+SUMPRODUCT(Income!D6:G6,Income!$D$2:$G$2)/12)*Inputs!P6+Income!N6/12</x:f>
        <x:v>70360</x:v>
      </x:c>
      <x:c r="E17" s="187" t="n">
        <x:f>Income!I6*Settings!C25</x:f>
        <x:v>0</x:v>
      </x:c>
      <x:c r="F17" s="187" t="n">
        <x:f>(Outlays!K6-Outlays!J6+Outlays!Q6)/12</x:f>
        <x:v>62166.666666666664</x:v>
      </x:c>
      <x:c r="G17" s="187" t="n">
        <x:f>Outlays!J6*Settings!C25</x:f>
        <x:v>0</x:v>
      </x:c>
      <x:c r="H17" s="187" t="n">
        <x:f>SUM(Outlays!L6:M6)*Settings!D25</x:f>
        <x:v>22500</x:v>
      </x:c>
      <x:c r="I17" s="187" t="n">
        <x:f>Debt!H6</x:f>
        <x:v>0</x:v>
      </x:c>
      <x:c r="J17" s="187" t="n">
        <x:f>0</x:f>
        <x:v>0</x:v>
      </x:c>
      <x:c r="K17" s="187" t="n">
        <x:f>C17+D17+E17-F17-G17-H17+I17-J17</x:f>
        <x:v>1485693.3333333333</x:v>
      </x:c>
      <x:c r="L17" s="198" t="str">
        <x:f>IF(K17&lt;0,"UNFUNDED","Funded")</x:f>
        <x:v>Funded</x:v>
      </x:c>
    </x:row>
    <x:row r="18" ht="28" customHeight="1">
      <x:c r="A18" s="128" t="str">
        <x:v>Vale</x:v>
      </x:c>
      <x:c r="B18" s="128" t="n">
        <x:v>2</x:v>
      </x:c>
      <x:c r="C18" s="187" t="n">
        <x:f>K17</x:f>
        <x:v>1485693.3333333333</x:v>
      </x:c>
      <x:c r="D18" s="187" t="n">
        <x:f>((Income!B6*Income!$B$2+Income!C6*Income!$C$2)*Settings!B26+SUMPRODUCT(Income!D6:G6,Income!$D$2:$G$2)/12)*Inputs!P6+Income!N6/12</x:f>
        <x:v>70360</x:v>
      </x:c>
      <x:c r="E18" s="187" t="n">
        <x:f>Income!I6*Settings!C26</x:f>
        <x:v>0</x:v>
      </x:c>
      <x:c r="F18" s="187" t="n">
        <x:f>(Outlays!K6-Outlays!J6+Outlays!Q6)/12</x:f>
        <x:v>62166.666666666664</x:v>
      </x:c>
      <x:c r="G18" s="187" t="n">
        <x:f>Outlays!J6*Settings!C26</x:f>
        <x:v>0</x:v>
      </x:c>
      <x:c r="H18" s="187" t="n">
        <x:f>SUM(Outlays!L6:M6)*Settings!D26</x:f>
        <x:v>22500</x:v>
      </x:c>
      <x:c r="I18" s="187" t="n">
        <x:f>0</x:f>
        <x:v>0</x:v>
      </x:c>
      <x:c r="J18" s="187" t="n">
        <x:f>0</x:f>
        <x:v>0</x:v>
      </x:c>
      <x:c r="K18" s="187" t="n">
        <x:f>C18+D18+E18-F18-G18-H18+I18-J18</x:f>
        <x:v>1471386.6666666665</x:v>
      </x:c>
      <x:c r="L18" s="198" t="str">
        <x:f>IF(K18&lt;0,"UNFUNDED","Funded")</x:f>
        <x:v>Funded</x:v>
      </x:c>
    </x:row>
    <x:row r="19" ht="28" customHeight="1">
      <x:c r="A19" s="128" t="str">
        <x:v>Vale</x:v>
      </x:c>
      <x:c r="B19" s="128" t="n">
        <x:v>3</x:v>
      </x:c>
      <x:c r="C19" s="187" t="n">
        <x:f>K18</x:f>
        <x:v>1471386.6666666665</x:v>
      </x:c>
      <x:c r="D19" s="187" t="n">
        <x:f>((Income!B6*Income!$B$2+Income!C6*Income!$C$2)*Settings!B27+SUMPRODUCT(Income!D6:G6,Income!$D$2:$G$2)/12)*Inputs!P6+Income!N6/12</x:f>
        <x:v>70360</x:v>
      </x:c>
      <x:c r="E19" s="187" t="n">
        <x:f>Income!I6*Settings!C27</x:f>
        <x:v>0</x:v>
      </x:c>
      <x:c r="F19" s="187" t="n">
        <x:f>(Outlays!K6-Outlays!J6+Outlays!Q6)/12</x:f>
        <x:v>62166.666666666664</x:v>
      </x:c>
      <x:c r="G19" s="187" t="n">
        <x:f>Outlays!J6*Settings!C27</x:f>
        <x:v>25000</x:v>
      </x:c>
      <x:c r="H19" s="187" t="n">
        <x:f>SUM(Outlays!L6:M6)*Settings!D27</x:f>
        <x:v>15000</x:v>
      </x:c>
      <x:c r="I19" s="187" t="n">
        <x:f>0</x:f>
        <x:v>0</x:v>
      </x:c>
      <x:c r="J19" s="187" t="n">
        <x:f>0</x:f>
        <x:v>0</x:v>
      </x:c>
      <x:c r="K19" s="187" t="n">
        <x:f>C19+D19+E19-F19-G19-H19+I19-J19</x:f>
        <x:v>1439579.9999999998</x:v>
      </x:c>
      <x:c r="L19" s="198" t="str">
        <x:f>IF(K19&lt;0,"UNFUNDED","Funded")</x:f>
        <x:v>Funded</x:v>
      </x:c>
    </x:row>
    <x:row r="20" ht="28" customHeight="1">
      <x:c r="A20" s="128" t="str">
        <x:v>Vale</x:v>
      </x:c>
      <x:c r="B20" s="128" t="n">
        <x:v>4</x:v>
      </x:c>
      <x:c r="C20" s="187" t="n">
        <x:f>K19</x:f>
        <x:v>1439579.9999999998</x:v>
      </x:c>
      <x:c r="D20" s="187" t="n">
        <x:f>((Income!B6*Income!$B$2+Income!C6*Income!$C$2)*Settings!B28+SUMPRODUCT(Income!D6:G6,Income!$D$2:$G$2)/12)*Inputs!P6+Income!N6/12</x:f>
        <x:v>70360</x:v>
      </x:c>
      <x:c r="E20" s="187" t="n">
        <x:f>Income!I6*Settings!C28</x:f>
        <x:v>0</x:v>
      </x:c>
      <x:c r="F20" s="187" t="n">
        <x:f>(Outlays!K6-Outlays!J6+Outlays!Q6)/12</x:f>
        <x:v>62166.666666666664</x:v>
      </x:c>
      <x:c r="G20" s="187" t="n">
        <x:f>Outlays!J6*Settings!C28</x:f>
        <x:v>0</x:v>
      </x:c>
      <x:c r="H20" s="187" t="n">
        <x:f>SUM(Outlays!L6:M6)*Settings!D28</x:f>
        <x:v>15000</x:v>
      </x:c>
      <x:c r="I20" s="187" t="n">
        <x:f>0</x:f>
        <x:v>0</x:v>
      </x:c>
      <x:c r="J20" s="187" t="n">
        <x:f>0</x:f>
        <x:v>0</x:v>
      </x:c>
      <x:c r="K20" s="187" t="n">
        <x:f>C20+D20+E20-F20-G20-H20+I20-J20</x:f>
        <x:v>1432773.333333333</x:v>
      </x:c>
      <x:c r="L20" s="198" t="str">
        <x:f>IF(K20&lt;0,"UNFUNDED","Funded")</x:f>
        <x:v>Funded</x:v>
      </x:c>
    </x:row>
    <x:row r="21" ht="28" customHeight="1">
      <x:c r="A21" s="128" t="str">
        <x:v>Vale</x:v>
      </x:c>
      <x:c r="B21" s="128" t="n">
        <x:v>5</x:v>
      </x:c>
      <x:c r="C21" s="187" t="n">
        <x:f>K20</x:f>
        <x:v>1432773.333333333</x:v>
      </x:c>
      <x:c r="D21" s="187" t="n">
        <x:f>((Income!B6*Income!$B$2+Income!C6*Income!$C$2)*Settings!B29+SUMPRODUCT(Income!D6:G6,Income!$D$2:$G$2)/12)*Inputs!P6+Income!N6/12</x:f>
        <x:v>70360</x:v>
      </x:c>
      <x:c r="E21" s="187" t="n">
        <x:f>Income!I6*Settings!C29</x:f>
        <x:v>0</x:v>
      </x:c>
      <x:c r="F21" s="187" t="n">
        <x:f>(Outlays!K6-Outlays!J6+Outlays!Q6)/12</x:f>
        <x:v>62166.666666666664</x:v>
      </x:c>
      <x:c r="G21" s="187" t="n">
        <x:f>Outlays!J6*Settings!C29</x:f>
        <x:v>0</x:v>
      </x:c>
      <x:c r="H21" s="187" t="n">
        <x:f>SUM(Outlays!L6:M6)*Settings!D29</x:f>
        <x:v>15000</x:v>
      </x:c>
      <x:c r="I21" s="187" t="n">
        <x:f>0</x:f>
        <x:v>0</x:v>
      </x:c>
      <x:c r="J21" s="187" t="n">
        <x:f>0</x:f>
        <x:v>0</x:v>
      </x:c>
      <x:c r="K21" s="187" t="n">
        <x:f>C21+D21+E21-F21-G21-H21+I21-J21</x:f>
        <x:v>1425966.6666666663</x:v>
      </x:c>
      <x:c r="L21" s="198" t="str">
        <x:f>IF(K21&lt;0,"UNFUNDED","Funded")</x:f>
        <x:v>Funded</x:v>
      </x:c>
    </x:row>
    <x:row r="22" ht="28" customHeight="1">
      <x:c r="A22" s="128" t="str">
        <x:v>Vale</x:v>
      </x:c>
      <x:c r="B22" s="128" t="n">
        <x:v>6</x:v>
      </x:c>
      <x:c r="C22" s="187" t="n">
        <x:f>K21</x:f>
        <x:v>1425966.6666666663</x:v>
      </x:c>
      <x:c r="D22" s="187" t="n">
        <x:f>((Income!B6*Income!$B$2+Income!C6*Income!$C$2)*Settings!B30+SUMPRODUCT(Income!D6:G6,Income!$D$2:$G$2)/12)*Inputs!P6+Income!N6/12</x:f>
        <x:v>111400</x:v>
      </x:c>
      <x:c r="E22" s="187" t="n">
        <x:f>Income!I6*Settings!C30</x:f>
        <x:v>0</x:v>
      </x:c>
      <x:c r="F22" s="187" t="n">
        <x:f>(Outlays!K6-Outlays!J6+Outlays!Q6)/12</x:f>
        <x:v>62166.666666666664</x:v>
      </x:c>
      <x:c r="G22" s="187" t="n">
        <x:f>Outlays!J6*Settings!C30</x:f>
        <x:v>25000</x:v>
      </x:c>
      <x:c r="H22" s="187" t="n">
        <x:f>SUM(Outlays!L6:M6)*Settings!D30</x:f>
        <x:v>15000</x:v>
      </x:c>
      <x:c r="I22" s="187" t="n">
        <x:f>0</x:f>
        <x:v>0</x:v>
      </x:c>
      <x:c r="J22" s="187" t="n">
        <x:f>0</x:f>
        <x:v>0</x:v>
      </x:c>
      <x:c r="K22" s="187" t="n">
        <x:f>C22+D22+E22-F22-G22-H22+I22-J22</x:f>
        <x:v>1435199.9999999995</x:v>
      </x:c>
      <x:c r="L22" s="198" t="str">
        <x:f>IF(K22&lt;0,"UNFUNDED","Funded")</x:f>
        <x:v>Funded</x:v>
      </x:c>
    </x:row>
    <x:row r="23" ht="28" customHeight="1">
      <x:c r="A23" s="128" t="str">
        <x:v>Vale</x:v>
      </x:c>
      <x:c r="B23" s="128" t="n">
        <x:v>7</x:v>
      </x:c>
      <x:c r="C23" s="187" t="n">
        <x:f>K22</x:f>
        <x:v>1435199.9999999995</x:v>
      </x:c>
      <x:c r="D23" s="187" t="n">
        <x:f>((Income!B6*Income!$B$2+Income!C6*Income!$C$2)*Settings!B31+SUMPRODUCT(Income!D6:G6,Income!$D$2:$G$2)/12)*Inputs!P6+Income!N6/12</x:f>
        <x:v>70360</x:v>
      </x:c>
      <x:c r="E23" s="187" t="n">
        <x:f>Income!I6*Settings!C31</x:f>
        <x:v>0</x:v>
      </x:c>
      <x:c r="F23" s="187" t="n">
        <x:f>(Outlays!K6-Outlays!J6+Outlays!Q6)/12</x:f>
        <x:v>62166.666666666664</x:v>
      </x:c>
      <x:c r="G23" s="187" t="n">
        <x:f>Outlays!J6*Settings!C31</x:f>
        <x:v>0</x:v>
      </x:c>
      <x:c r="H23" s="187" t="n">
        <x:f>SUM(Outlays!L6:M6)*Settings!D31</x:f>
        <x:v>7500</x:v>
      </x:c>
      <x:c r="I23" s="187" t="n">
        <x:f>0</x:f>
        <x:v>0</x:v>
      </x:c>
      <x:c r="J23" s="187" t="n">
        <x:f>0</x:f>
        <x:v>0</x:v>
      </x:c>
      <x:c r="K23" s="187" t="n">
        <x:f>C23+D23+E23-F23-G23-H23+I23-J23</x:f>
        <x:v>1435893.3333333328</x:v>
      </x:c>
      <x:c r="L23" s="198" t="str">
        <x:f>IF(K23&lt;0,"UNFUNDED","Funded")</x:f>
        <x:v>Funded</x:v>
      </x:c>
    </x:row>
    <x:row r="24" ht="28" customHeight="1">
      <x:c r="A24" s="128" t="str">
        <x:v>Vale</x:v>
      </x:c>
      <x:c r="B24" s="128" t="n">
        <x:v>8</x:v>
      </x:c>
      <x:c r="C24" s="187" t="n">
        <x:f>K23</x:f>
        <x:v>1435893.3333333328</x:v>
      </x:c>
      <x:c r="D24" s="187" t="n">
        <x:f>((Income!B6*Income!$B$2+Income!C6*Income!$C$2)*Settings!B32+SUMPRODUCT(Income!D6:G6,Income!$D$2:$G$2)/12)*Inputs!P6+Income!N6/12</x:f>
        <x:v>70360</x:v>
      </x:c>
      <x:c r="E24" s="187" t="n">
        <x:f>Income!I6*Settings!C32</x:f>
        <x:v>0</x:v>
      </x:c>
      <x:c r="F24" s="187" t="n">
        <x:f>(Outlays!K6-Outlays!J6+Outlays!Q6)/12</x:f>
        <x:v>62166.666666666664</x:v>
      </x:c>
      <x:c r="G24" s="187" t="n">
        <x:f>Outlays!J6*Settings!C32</x:f>
        <x:v>0</x:v>
      </x:c>
      <x:c r="H24" s="187" t="n">
        <x:f>SUM(Outlays!L6:M6)*Settings!D32</x:f>
        <x:v>7500</x:v>
      </x:c>
      <x:c r="I24" s="187" t="n">
        <x:f>0</x:f>
        <x:v>0</x:v>
      </x:c>
      <x:c r="J24" s="187" t="n">
        <x:f>0</x:f>
        <x:v>0</x:v>
      </x:c>
      <x:c r="K24" s="187" t="n">
        <x:f>C24+D24+E24-F24-G24-H24+I24-J24</x:f>
        <x:v>1436586.666666666</x:v>
      </x:c>
      <x:c r="L24" s="198" t="str">
        <x:f>IF(K24&lt;0,"UNFUNDED","Funded")</x:f>
        <x:v>Funded</x:v>
      </x:c>
    </x:row>
    <x:row r="25" ht="28" customHeight="1">
      <x:c r="A25" s="128" t="str">
        <x:v>Vale</x:v>
      </x:c>
      <x:c r="B25" s="128" t="n">
        <x:v>9</x:v>
      </x:c>
      <x:c r="C25" s="187" t="n">
        <x:f>K24</x:f>
        <x:v>1436586.666666666</x:v>
      </x:c>
      <x:c r="D25" s="187" t="n">
        <x:f>((Income!B6*Income!$B$2+Income!C6*Income!$C$2)*Settings!B33+SUMPRODUCT(Income!D6:G6,Income!$D$2:$G$2)/12)*Inputs!P6+Income!N6/12</x:f>
        <x:v>282400</x:v>
      </x:c>
      <x:c r="E25" s="187" t="n">
        <x:f>Income!I6*Settings!C33</x:f>
        <x:v>0</x:v>
      </x:c>
      <x:c r="F25" s="187" t="n">
        <x:f>(Outlays!K6-Outlays!J6+Outlays!Q6)/12</x:f>
        <x:v>62166.666666666664</x:v>
      </x:c>
      <x:c r="G25" s="187" t="n">
        <x:f>Outlays!J6*Settings!C33</x:f>
        <x:v>25000</x:v>
      </x:c>
      <x:c r="H25" s="187" t="n">
        <x:f>SUM(Outlays!L6:M6)*Settings!D33</x:f>
        <x:v>7500</x:v>
      </x:c>
      <x:c r="I25" s="187" t="n">
        <x:f>0</x:f>
        <x:v>0</x:v>
      </x:c>
      <x:c r="J25" s="187" t="n">
        <x:f>0</x:f>
        <x:v>0</x:v>
      </x:c>
      <x:c r="K25" s="187" t="n">
        <x:f>C25+D25+E25-F25-G25-H25+I25-J25</x:f>
        <x:v>1624319.9999999993</x:v>
      </x:c>
      <x:c r="L25" s="198" t="str">
        <x:f>IF(K25&lt;0,"UNFUNDED","Funded")</x:f>
        <x:v>Funded</x:v>
      </x:c>
    </x:row>
    <x:row r="26" ht="28" customHeight="1">
      <x:c r="A26" s="128" t="str">
        <x:v>Vale</x:v>
      </x:c>
      <x:c r="B26" s="128" t="n">
        <x:v>10</x:v>
      </x:c>
      <x:c r="C26" s="187" t="n">
        <x:f>K25</x:f>
        <x:v>1624319.9999999993</x:v>
      </x:c>
      <x:c r="D26" s="187" t="n">
        <x:f>((Income!B6*Income!$B$2+Income!C6*Income!$C$2)*Settings!B34+SUMPRODUCT(Income!D6:G6,Income!$D$2:$G$2)/12)*Inputs!P6+Income!N6/12</x:f>
        <x:v>145600</x:v>
      </x:c>
      <x:c r="E26" s="187" t="n">
        <x:f>Income!I6*Settings!C34</x:f>
        <x:v>0</x:v>
      </x:c>
      <x:c r="F26" s="187" t="n">
        <x:f>(Outlays!K6-Outlays!J6+Outlays!Q6)/12</x:f>
        <x:v>62166.666666666664</x:v>
      </x:c>
      <x:c r="G26" s="187" t="n">
        <x:f>Outlays!J6*Settings!C34</x:f>
        <x:v>0</x:v>
      </x:c>
      <x:c r="H26" s="187" t="n">
        <x:f>SUM(Outlays!L6:M6)*Settings!D34</x:f>
        <x:v>7500</x:v>
      </x:c>
      <x:c r="I26" s="187" t="n">
        <x:f>0</x:f>
        <x:v>0</x:v>
      </x:c>
      <x:c r="J26" s="187" t="n">
        <x:f>0</x:f>
        <x:v>0</x:v>
      </x:c>
      <x:c r="K26" s="187" t="n">
        <x:f>C26+D26+E26-F26-G26-H26+I26-J26</x:f>
        <x:v>1700253.3333333326</x:v>
      </x:c>
      <x:c r="L26" s="198" t="str">
        <x:f>IF(K26&lt;0,"UNFUNDED","Funded")</x:f>
        <x:v>Funded</x:v>
      </x:c>
    </x:row>
    <x:row r="27" ht="28" customHeight="1">
      <x:c r="A27" s="128" t="str">
        <x:v>Vale</x:v>
      </x:c>
      <x:c r="B27" s="128" t="n">
        <x:v>11</x:v>
      </x:c>
      <x:c r="C27" s="187" t="n">
        <x:f>K26</x:f>
        <x:v>1700253.3333333326</x:v>
      </x:c>
      <x:c r="D27" s="187" t="n">
        <x:f>((Income!B6*Income!$B$2+Income!C6*Income!$C$2)*Settings!B35+SUMPRODUCT(Income!D6:G6,Income!$D$2:$G$2)/12)*Inputs!P6+Income!N6/12</x:f>
        <x:v>70360</x:v>
      </x:c>
      <x:c r="E27" s="187" t="n">
        <x:f>Income!I6*Settings!C35</x:f>
        <x:v>0</x:v>
      </x:c>
      <x:c r="F27" s="187" t="n">
        <x:f>(Outlays!K6-Outlays!J6+Outlays!Q6)/12</x:f>
        <x:v>62166.666666666664</x:v>
      </x:c>
      <x:c r="G27" s="187" t="n">
        <x:f>Outlays!J6*Settings!C35</x:f>
        <x:v>0</x:v>
      </x:c>
      <x:c r="H27" s="187" t="n">
        <x:f>SUM(Outlays!L6:M6)*Settings!D35</x:f>
        <x:v>7500</x:v>
      </x:c>
      <x:c r="I27" s="187" t="n">
        <x:f>0</x:f>
        <x:v>0</x:v>
      </x:c>
      <x:c r="J27" s="187" t="n">
        <x:f>0</x:f>
        <x:v>0</x:v>
      </x:c>
      <x:c r="K27" s="187" t="n">
        <x:f>C27+D27+E27-F27-G27-H27+I27-J27</x:f>
        <x:v>1700946.6666666658</x:v>
      </x:c>
      <x:c r="L27" s="198" t="str">
        <x:f>IF(K27&lt;0,"UNFUNDED","Funded")</x:f>
        <x:v>Funded</x:v>
      </x:c>
    </x:row>
    <x:row r="28" ht="28" customHeight="1">
      <x:c r="A28" s="199" t="str">
        <x:v>Vale</x:v>
      </x:c>
      <x:c r="B28" s="199" t="n">
        <x:v>12</x:v>
      </x:c>
      <x:c r="C28" s="200" t="n">
        <x:f>K27</x:f>
        <x:v>1700946.6666666658</x:v>
      </x:c>
      <x:c r="D28" s="200" t="n">
        <x:f>((Income!B6*Income!$B$2+Income!C6*Income!$C$2)*Settings!B36+SUMPRODUCT(Income!D6:G6,Income!$D$2:$G$2)/12)*Inputs!P6+Income!N6/12</x:f>
        <x:v>97720</x:v>
      </x:c>
      <x:c r="E28" s="200" t="n">
        <x:f>Income!I6*Settings!C36</x:f>
        <x:v>0</x:v>
      </x:c>
      <x:c r="F28" s="200" t="n">
        <x:f>(Outlays!K6-Outlays!J6+Outlays!Q6)/12</x:f>
        <x:v>62166.666666666664</x:v>
      </x:c>
      <x:c r="G28" s="200" t="n">
        <x:f>Outlays!J6*Settings!C36</x:f>
        <x:v>25000</x:v>
      </x:c>
      <x:c r="H28" s="200" t="n">
        <x:f>SUM(Outlays!L6:M6)*Settings!D36</x:f>
        <x:v>7500</x:v>
      </x:c>
      <x:c r="I28" s="200" t="n">
        <x:f>0</x:f>
        <x:v>0</x:v>
      </x:c>
      <x:c r="J28" s="200" t="n">
        <x:f>Debt!G6</x:f>
        <x:v>25000</x:v>
      </x:c>
      <x:c r="K28" s="200" t="n">
        <x:f>C28+D28+E28-F28-G28-H28+I28-J28</x:f>
        <x:v>1678999.999999999</x:v>
      </x:c>
      <x:c r="L28" s="201" t="str">
        <x:f>IF(K28&lt;0,"UNFUNDED","Funded")</x:f>
        <x:v>Funded</x:v>
      </x:c>
    </x:row>
    <x:row r="29" ht="28" customHeight="1">
      <x:c r="A29" s="128" t="str">
        <x:v>Riverlands</x:v>
      </x:c>
      <x:c r="B29" s="128" t="n">
        <x:v>1</x:v>
      </x:c>
      <x:c r="C29" s="187" t="n">
        <x:f>Inputs!E7</x:f>
        <x:v>400000</x:v>
      </x:c>
      <x:c r="D29" s="187" t="n">
        <x:f>((Income!B7*Income!$B$2+Income!C7*Income!$C$2)*Settings!B25+SUMPRODUCT(Income!D7:G7,Income!$D$2:$G$2)/12)*Inputs!P7+Income!N7/12</x:f>
        <x:v>29244.444444444445</x:v>
      </x:c>
      <x:c r="E29" s="187" t="n">
        <x:f>Income!I7*Settings!C25</x:f>
        <x:v>0</x:v>
      </x:c>
      <x:c r="F29" s="187" t="n">
        <x:f>(Outlays!K7-Outlays!J7+Outlays!Q7)/12</x:f>
        <x:v>30333.333333333332</x:v>
      </x:c>
      <x:c r="G29" s="187" t="n">
        <x:f>Outlays!J7*Settings!C25</x:f>
        <x:v>0</x:v>
      </x:c>
      <x:c r="H29" s="187" t="n">
        <x:f>SUM(Outlays!L7:M7)*Settings!D25</x:f>
        <x:v>16500</x:v>
      </x:c>
      <x:c r="I29" s="187" t="n">
        <x:f>Debt!H7</x:f>
        <x:v>0</x:v>
      </x:c>
      <x:c r="J29" s="187" t="n">
        <x:f>0</x:f>
        <x:v>0</x:v>
      </x:c>
      <x:c r="K29" s="187" t="n">
        <x:f>C29+D29+E29-F29-G29-H29+I29-J29</x:f>
        <x:v>382411.1111111111</x:v>
      </x:c>
      <x:c r="L29" s="198" t="str">
        <x:f>IF(K29&lt;0,"UNFUNDED","Funded")</x:f>
        <x:v>Funded</x:v>
      </x:c>
    </x:row>
    <x:row r="30" ht="28" customHeight="1">
      <x:c r="A30" s="128" t="str">
        <x:v>Riverlands</x:v>
      </x:c>
      <x:c r="B30" s="128" t="n">
        <x:v>2</x:v>
      </x:c>
      <x:c r="C30" s="187" t="n">
        <x:f>K29</x:f>
        <x:v>382411.1111111111</x:v>
      </x:c>
      <x:c r="D30" s="187" t="n">
        <x:f>((Income!B7*Income!$B$2+Income!C7*Income!$C$2)*Settings!B26+SUMPRODUCT(Income!D7:G7,Income!$D$2:$G$2)/12)*Inputs!P7+Income!N7/12</x:f>
        <x:v>29244.444444444445</x:v>
      </x:c>
      <x:c r="E30" s="187" t="n">
        <x:f>Income!I7*Settings!C26</x:f>
        <x:v>0</x:v>
      </x:c>
      <x:c r="F30" s="187" t="n">
        <x:f>(Outlays!K7-Outlays!J7+Outlays!Q7)/12</x:f>
        <x:v>30333.333333333332</x:v>
      </x:c>
      <x:c r="G30" s="187" t="n">
        <x:f>Outlays!J7*Settings!C26</x:f>
        <x:v>0</x:v>
      </x:c>
      <x:c r="H30" s="187" t="n">
        <x:f>SUM(Outlays!L7:M7)*Settings!D26</x:f>
        <x:v>16500</x:v>
      </x:c>
      <x:c r="I30" s="187" t="n">
        <x:f>0</x:f>
        <x:v>0</x:v>
      </x:c>
      <x:c r="J30" s="187" t="n">
        <x:f>0</x:f>
        <x:v>0</x:v>
      </x:c>
      <x:c r="K30" s="187" t="n">
        <x:f>C30+D30+E30-F30-G30-H30+I30-J30</x:f>
        <x:v>364822.22222222225</x:v>
      </x:c>
      <x:c r="L30" s="198" t="str">
        <x:f>IF(K30&lt;0,"UNFUNDED","Funded")</x:f>
        <x:v>Funded</x:v>
      </x:c>
    </x:row>
    <x:row r="31" ht="28" customHeight="1">
      <x:c r="A31" s="128" t="str">
        <x:v>Riverlands</x:v>
      </x:c>
      <x:c r="B31" s="128" t="n">
        <x:v>3</x:v>
      </x:c>
      <x:c r="C31" s="187" t="n">
        <x:f>K30</x:f>
        <x:v>364822.22222222225</x:v>
      </x:c>
      <x:c r="D31" s="187" t="n">
        <x:f>((Income!B7*Income!$B$2+Income!C7*Income!$C$2)*Settings!B27+SUMPRODUCT(Income!D7:G7,Income!$D$2:$G$2)/12)*Inputs!P7+Income!N7/12</x:f>
        <x:v>29244.444444444445</x:v>
      </x:c>
      <x:c r="E31" s="187" t="n">
        <x:f>Income!I7*Settings!C27</x:f>
        <x:v>0</x:v>
      </x:c>
      <x:c r="F31" s="187" t="n">
        <x:f>(Outlays!K7-Outlays!J7+Outlays!Q7)/12</x:f>
        <x:v>30333.333333333332</x:v>
      </x:c>
      <x:c r="G31" s="187" t="n">
        <x:f>Outlays!J7*Settings!C27</x:f>
        <x:v>12500</x:v>
      </x:c>
      <x:c r="H31" s="187" t="n">
        <x:f>SUM(Outlays!L7:M7)*Settings!D27</x:f>
        <x:v>11000</x:v>
      </x:c>
      <x:c r="I31" s="187" t="n">
        <x:f>0</x:f>
        <x:v>0</x:v>
      </x:c>
      <x:c r="J31" s="187" t="n">
        <x:f>0</x:f>
        <x:v>0</x:v>
      </x:c>
      <x:c r="K31" s="187" t="n">
        <x:f>C31+D31+E31-F31-G31-H31+I31-J31</x:f>
        <x:v>340233.3333333334</x:v>
      </x:c>
      <x:c r="L31" s="198" t="str">
        <x:f>IF(K31&lt;0,"UNFUNDED","Funded")</x:f>
        <x:v>Funded</x:v>
      </x:c>
    </x:row>
    <x:row r="32" ht="28" customHeight="1">
      <x:c r="A32" s="128" t="str">
        <x:v>Riverlands</x:v>
      </x:c>
      <x:c r="B32" s="128" t="n">
        <x:v>4</x:v>
      </x:c>
      <x:c r="C32" s="187" t="n">
        <x:f>K31</x:f>
        <x:v>340233.3333333334</x:v>
      </x:c>
      <x:c r="D32" s="187" t="n">
        <x:f>((Income!B7*Income!$B$2+Income!C7*Income!$C$2)*Settings!B28+SUMPRODUCT(Income!D7:G7,Income!$D$2:$G$2)/12)*Inputs!P7+Income!N7/12</x:f>
        <x:v>29244.444444444445</x:v>
      </x:c>
      <x:c r="E32" s="187" t="n">
        <x:f>Income!I7*Settings!C28</x:f>
        <x:v>0</x:v>
      </x:c>
      <x:c r="F32" s="187" t="n">
        <x:f>(Outlays!K7-Outlays!J7+Outlays!Q7)/12</x:f>
        <x:v>30333.333333333332</x:v>
      </x:c>
      <x:c r="G32" s="187" t="n">
        <x:f>Outlays!J7*Settings!C28</x:f>
        <x:v>0</x:v>
      </x:c>
      <x:c r="H32" s="187" t="n">
        <x:f>SUM(Outlays!L7:M7)*Settings!D28</x:f>
        <x:v>11000</x:v>
      </x:c>
      <x:c r="I32" s="187" t="n">
        <x:f>0</x:f>
        <x:v>0</x:v>
      </x:c>
      <x:c r="J32" s="187" t="n">
        <x:f>0</x:f>
        <x:v>0</x:v>
      </x:c>
      <x:c r="K32" s="187" t="n">
        <x:f>C32+D32+E32-F32-G32-H32+I32-J32</x:f>
        <x:v>328144.4444444445</x:v>
      </x:c>
      <x:c r="L32" s="198" t="str">
        <x:f>IF(K32&lt;0,"UNFUNDED","Funded")</x:f>
        <x:v>Funded</x:v>
      </x:c>
    </x:row>
    <x:row r="33" ht="28" customHeight="1">
      <x:c r="A33" s="128" t="str">
        <x:v>Riverlands</x:v>
      </x:c>
      <x:c r="B33" s="128" t="n">
        <x:v>5</x:v>
      </x:c>
      <x:c r="C33" s="187" t="n">
        <x:f>K32</x:f>
        <x:v>328144.4444444445</x:v>
      </x:c>
      <x:c r="D33" s="187" t="n">
        <x:f>((Income!B7*Income!$B$2+Income!C7*Income!$C$2)*Settings!B29+SUMPRODUCT(Income!D7:G7,Income!$D$2:$G$2)/12)*Inputs!P7+Income!N7/12</x:f>
        <x:v>29244.444444444445</x:v>
      </x:c>
      <x:c r="E33" s="187" t="n">
        <x:f>Income!I7*Settings!C29</x:f>
        <x:v>0</x:v>
      </x:c>
      <x:c r="F33" s="187" t="n">
        <x:f>(Outlays!K7-Outlays!J7+Outlays!Q7)/12</x:f>
        <x:v>30333.333333333332</x:v>
      </x:c>
      <x:c r="G33" s="187" t="n">
        <x:f>Outlays!J7*Settings!C29</x:f>
        <x:v>0</x:v>
      </x:c>
      <x:c r="H33" s="187" t="n">
        <x:f>SUM(Outlays!L7:M7)*Settings!D29</x:f>
        <x:v>11000</x:v>
      </x:c>
      <x:c r="I33" s="187" t="n">
        <x:f>0</x:f>
        <x:v>0</x:v>
      </x:c>
      <x:c r="J33" s="187" t="n">
        <x:f>0</x:f>
        <x:v>0</x:v>
      </x:c>
      <x:c r="K33" s="187" t="n">
        <x:f>C33+D33+E33-F33-G33-H33+I33-J33</x:f>
        <x:v>316055.5555555556</x:v>
      </x:c>
      <x:c r="L33" s="198" t="str">
        <x:f>IF(K33&lt;0,"UNFUNDED","Funded")</x:f>
        <x:v>Funded</x:v>
      </x:c>
    </x:row>
    <x:row r="34" ht="28" customHeight="1">
      <x:c r="A34" s="128" t="str">
        <x:v>Riverlands</x:v>
      </x:c>
      <x:c r="B34" s="128" t="n">
        <x:v>6</x:v>
      </x:c>
      <x:c r="C34" s="187" t="n">
        <x:f>K33</x:f>
        <x:v>316055.5555555556</x:v>
      </x:c>
      <x:c r="D34" s="187" t="n">
        <x:f>((Income!B7*Income!$B$2+Income!C7*Income!$C$2)*Settings!B30+SUMPRODUCT(Income!D7:G7,Income!$D$2:$G$2)/12)*Inputs!P7+Income!N7/12</x:f>
        <x:v>46444.44444444444</x:v>
      </x:c>
      <x:c r="E34" s="187" t="n">
        <x:f>Income!I7*Settings!C30</x:f>
        <x:v>0</x:v>
      </x:c>
      <x:c r="F34" s="187" t="n">
        <x:f>(Outlays!K7-Outlays!J7+Outlays!Q7)/12</x:f>
        <x:v>30333.333333333332</x:v>
      </x:c>
      <x:c r="G34" s="187" t="n">
        <x:f>Outlays!J7*Settings!C30</x:f>
        <x:v>12500</x:v>
      </x:c>
      <x:c r="H34" s="187" t="n">
        <x:f>SUM(Outlays!L7:M7)*Settings!D30</x:f>
        <x:v>11000</x:v>
      </x:c>
      <x:c r="I34" s="187" t="n">
        <x:f>0</x:f>
        <x:v>0</x:v>
      </x:c>
      <x:c r="J34" s="187" t="n">
        <x:f>0</x:f>
        <x:v>0</x:v>
      </x:c>
      <x:c r="K34" s="187" t="n">
        <x:f>C34+D34+E34-F34-G34-H34+I34-J34</x:f>
        <x:v>308666.66666666674</x:v>
      </x:c>
      <x:c r="L34" s="198" t="str">
        <x:f>IF(K34&lt;0,"UNFUNDED","Funded")</x:f>
        <x:v>Funded</x:v>
      </x:c>
    </x:row>
    <x:row r="35" ht="28" customHeight="1">
      <x:c r="A35" s="128" t="str">
        <x:v>Riverlands</x:v>
      </x:c>
      <x:c r="B35" s="128" t="n">
        <x:v>7</x:v>
      </x:c>
      <x:c r="C35" s="187" t="n">
        <x:f>K34</x:f>
        <x:v>308666.66666666674</x:v>
      </x:c>
      <x:c r="D35" s="187" t="n">
        <x:f>((Income!B7*Income!$B$2+Income!C7*Income!$C$2)*Settings!B31+SUMPRODUCT(Income!D7:G7,Income!$D$2:$G$2)/12)*Inputs!P7+Income!N7/12</x:f>
        <x:v>29244.444444444445</x:v>
      </x:c>
      <x:c r="E35" s="187" t="n">
        <x:f>Income!I7*Settings!C31</x:f>
        <x:v>0</x:v>
      </x:c>
      <x:c r="F35" s="187" t="n">
        <x:f>(Outlays!K7-Outlays!J7+Outlays!Q7)/12</x:f>
        <x:v>30333.333333333332</x:v>
      </x:c>
      <x:c r="G35" s="187" t="n">
        <x:f>Outlays!J7*Settings!C31</x:f>
        <x:v>0</x:v>
      </x:c>
      <x:c r="H35" s="187" t="n">
        <x:f>SUM(Outlays!L7:M7)*Settings!D31</x:f>
        <x:v>5500</x:v>
      </x:c>
      <x:c r="I35" s="187" t="n">
        <x:f>0</x:f>
        <x:v>0</x:v>
      </x:c>
      <x:c r="J35" s="187" t="n">
        <x:f>0</x:f>
        <x:v>0</x:v>
      </x:c>
      <x:c r="K35" s="187" t="n">
        <x:f>C35+D35+E35-F35-G35-H35+I35-J35</x:f>
        <x:v>302077.77777777787</x:v>
      </x:c>
      <x:c r="L35" s="198" t="str">
        <x:f>IF(K35&lt;0,"UNFUNDED","Funded")</x:f>
        <x:v>Funded</x:v>
      </x:c>
    </x:row>
    <x:row r="36" ht="28" customHeight="1">
      <x:c r="A36" s="128" t="str">
        <x:v>Riverlands</x:v>
      </x:c>
      <x:c r="B36" s="128" t="n">
        <x:v>8</x:v>
      </x:c>
      <x:c r="C36" s="187" t="n">
        <x:f>K35</x:f>
        <x:v>302077.77777777787</x:v>
      </x:c>
      <x:c r="D36" s="187" t="n">
        <x:f>((Income!B7*Income!$B$2+Income!C7*Income!$C$2)*Settings!B32+SUMPRODUCT(Income!D7:G7,Income!$D$2:$G$2)/12)*Inputs!P7+Income!N7/12</x:f>
        <x:v>29244.444444444445</x:v>
      </x:c>
      <x:c r="E36" s="187" t="n">
        <x:f>Income!I7*Settings!C32</x:f>
        <x:v>0</x:v>
      </x:c>
      <x:c r="F36" s="187" t="n">
        <x:f>(Outlays!K7-Outlays!J7+Outlays!Q7)/12</x:f>
        <x:v>30333.333333333332</x:v>
      </x:c>
      <x:c r="G36" s="187" t="n">
        <x:f>Outlays!J7*Settings!C32</x:f>
        <x:v>0</x:v>
      </x:c>
      <x:c r="H36" s="187" t="n">
        <x:f>SUM(Outlays!L7:M7)*Settings!D32</x:f>
        <x:v>5500</x:v>
      </x:c>
      <x:c r="I36" s="187" t="n">
        <x:f>0</x:f>
        <x:v>0</x:v>
      </x:c>
      <x:c r="J36" s="187" t="n">
        <x:f>0</x:f>
        <x:v>0</x:v>
      </x:c>
      <x:c r="K36" s="187" t="n">
        <x:f>C36+D36+E36-F36-G36-H36+I36-J36</x:f>
        <x:v>295488.888888889</x:v>
      </x:c>
      <x:c r="L36" s="198" t="str">
        <x:f>IF(K36&lt;0,"UNFUNDED","Funded")</x:f>
        <x:v>Funded</x:v>
      </x:c>
    </x:row>
    <x:row r="37" ht="28" customHeight="1">
      <x:c r="A37" s="128" t="str">
        <x:v>Riverlands</x:v>
      </x:c>
      <x:c r="B37" s="128" t="n">
        <x:v>9</x:v>
      </x:c>
      <x:c r="C37" s="187" t="n">
        <x:f>K36</x:f>
        <x:v>295488.888888889</x:v>
      </x:c>
      <x:c r="D37" s="187" t="n">
        <x:f>((Income!B7*Income!$B$2+Income!C7*Income!$C$2)*Settings!B33+SUMPRODUCT(Income!D7:G7,Income!$D$2:$G$2)/12)*Inputs!P7+Income!N7/12</x:f>
        <x:v>118111.1111111111</x:v>
      </x:c>
      <x:c r="E37" s="187" t="n">
        <x:f>Income!I7*Settings!C33</x:f>
        <x:v>0</x:v>
      </x:c>
      <x:c r="F37" s="187" t="n">
        <x:f>(Outlays!K7-Outlays!J7+Outlays!Q7)/12</x:f>
        <x:v>30333.333333333332</x:v>
      </x:c>
      <x:c r="G37" s="187" t="n">
        <x:f>Outlays!J7*Settings!C33</x:f>
        <x:v>12500</x:v>
      </x:c>
      <x:c r="H37" s="187" t="n">
        <x:f>SUM(Outlays!L7:M7)*Settings!D33</x:f>
        <x:v>5500</x:v>
      </x:c>
      <x:c r="I37" s="187" t="n">
        <x:f>0</x:f>
        <x:v>0</x:v>
      </x:c>
      <x:c r="J37" s="187" t="n">
        <x:f>0</x:f>
        <x:v>0</x:v>
      </x:c>
      <x:c r="K37" s="187" t="n">
        <x:f>C37+D37+E37-F37-G37-H37+I37-J37</x:f>
        <x:v>365266.6666666668</x:v>
      </x:c>
      <x:c r="L37" s="198" t="str">
        <x:f>IF(K37&lt;0,"UNFUNDED","Funded")</x:f>
        <x:v>Funded</x:v>
      </x:c>
    </x:row>
    <x:row r="38" ht="28" customHeight="1">
      <x:c r="A38" s="128" t="str">
        <x:v>Riverlands</x:v>
      </x:c>
      <x:c r="B38" s="128" t="n">
        <x:v>10</x:v>
      </x:c>
      <x:c r="C38" s="187" t="n">
        <x:f>K37</x:f>
        <x:v>365266.6666666668</x:v>
      </x:c>
      <x:c r="D38" s="187" t="n">
        <x:f>((Income!B7*Income!$B$2+Income!C7*Income!$C$2)*Settings!B34+SUMPRODUCT(Income!D7:G7,Income!$D$2:$G$2)/12)*Inputs!P7+Income!N7/12</x:f>
        <x:v>60777.77777777777</x:v>
      </x:c>
      <x:c r="E38" s="187" t="n">
        <x:f>Income!I7*Settings!C34</x:f>
        <x:v>0</x:v>
      </x:c>
      <x:c r="F38" s="187" t="n">
        <x:f>(Outlays!K7-Outlays!J7+Outlays!Q7)/12</x:f>
        <x:v>30333.333333333332</x:v>
      </x:c>
      <x:c r="G38" s="187" t="n">
        <x:f>Outlays!J7*Settings!C34</x:f>
        <x:v>0</x:v>
      </x:c>
      <x:c r="H38" s="187" t="n">
        <x:f>SUM(Outlays!L7:M7)*Settings!D34</x:f>
        <x:v>5500</x:v>
      </x:c>
      <x:c r="I38" s="187" t="n">
        <x:f>0</x:f>
        <x:v>0</x:v>
      </x:c>
      <x:c r="J38" s="187" t="n">
        <x:f>0</x:f>
        <x:v>0</x:v>
      </x:c>
      <x:c r="K38" s="187" t="n">
        <x:f>C38+D38+E38-F38-G38-H38+I38-J38</x:f>
        <x:v>390211.11111111124</x:v>
      </x:c>
      <x:c r="L38" s="198" t="str">
        <x:f>IF(K38&lt;0,"UNFUNDED","Funded")</x:f>
        <x:v>Funded</x:v>
      </x:c>
    </x:row>
    <x:row r="39" ht="28" customHeight="1">
      <x:c r="A39" s="128" t="str">
        <x:v>Riverlands</x:v>
      </x:c>
      <x:c r="B39" s="128" t="n">
        <x:v>11</x:v>
      </x:c>
      <x:c r="C39" s="187" t="n">
        <x:f>K38</x:f>
        <x:v>390211.11111111124</x:v>
      </x:c>
      <x:c r="D39" s="187" t="n">
        <x:f>((Income!B7*Income!$B$2+Income!C7*Income!$C$2)*Settings!B35+SUMPRODUCT(Income!D7:G7,Income!$D$2:$G$2)/12)*Inputs!P7+Income!N7/12</x:f>
        <x:v>29244.444444444445</x:v>
      </x:c>
      <x:c r="E39" s="187" t="n">
        <x:f>Income!I7*Settings!C35</x:f>
        <x:v>0</x:v>
      </x:c>
      <x:c r="F39" s="187" t="n">
        <x:f>(Outlays!K7-Outlays!J7+Outlays!Q7)/12</x:f>
        <x:v>30333.333333333332</x:v>
      </x:c>
      <x:c r="G39" s="187" t="n">
        <x:f>Outlays!J7*Settings!C35</x:f>
        <x:v>0</x:v>
      </x:c>
      <x:c r="H39" s="187" t="n">
        <x:f>SUM(Outlays!L7:M7)*Settings!D35</x:f>
        <x:v>5500</x:v>
      </x:c>
      <x:c r="I39" s="187" t="n">
        <x:f>0</x:f>
        <x:v>0</x:v>
      </x:c>
      <x:c r="J39" s="187" t="n">
        <x:f>0</x:f>
        <x:v>0</x:v>
      </x:c>
      <x:c r="K39" s="187" t="n">
        <x:f>C39+D39+E39-F39-G39-H39+I39-J39</x:f>
        <x:v>383622.22222222236</x:v>
      </x:c>
      <x:c r="L39" s="198" t="str">
        <x:f>IF(K39&lt;0,"UNFUNDED","Funded")</x:f>
        <x:v>Funded</x:v>
      </x:c>
    </x:row>
    <x:row r="40" ht="28" customHeight="1">
      <x:c r="A40" s="199" t="str">
        <x:v>Riverlands</x:v>
      </x:c>
      <x:c r="B40" s="199" t="n">
        <x:v>12</x:v>
      </x:c>
      <x:c r="C40" s="200" t="n">
        <x:f>K39</x:f>
        <x:v>383622.22222222236</x:v>
      </x:c>
      <x:c r="D40" s="200" t="n">
        <x:f>((Income!B7*Income!$B$2+Income!C7*Income!$C$2)*Settings!B36+SUMPRODUCT(Income!D7:G7,Income!$D$2:$G$2)/12)*Inputs!P7+Income!N7/12</x:f>
        <x:v>40711.11111111111</x:v>
      </x:c>
      <x:c r="E40" s="200" t="n">
        <x:f>Income!I7*Settings!C36</x:f>
        <x:v>0</x:v>
      </x:c>
      <x:c r="F40" s="200" t="n">
        <x:f>(Outlays!K7-Outlays!J7+Outlays!Q7)/12</x:f>
        <x:v>30333.333333333332</x:v>
      </x:c>
      <x:c r="G40" s="200" t="n">
        <x:f>Outlays!J7*Settings!C36</x:f>
        <x:v>12500</x:v>
      </x:c>
      <x:c r="H40" s="200" t="n">
        <x:f>SUM(Outlays!L7:M7)*Settings!D36</x:f>
        <x:v>5500</x:v>
      </x:c>
      <x:c r="I40" s="200" t="n">
        <x:f>0</x:f>
        <x:v>0</x:v>
      </x:c>
      <x:c r="J40" s="200" t="n">
        <x:f>Debt!G7</x:f>
        <x:v>25000</x:v>
      </x:c>
      <x:c r="K40" s="200" t="n">
        <x:f>C40+D40+E40-F40-G40-H40+I40-J40</x:f>
        <x:v>351000.0000000002</x:v>
      </x:c>
      <x:c r="L40" s="201" t="str">
        <x:f>IF(K40&lt;0,"UNFUNDED","Funded")</x:f>
        <x:v>Funded</x:v>
      </x:c>
    </x:row>
    <x:row r="41" ht="28" customHeight="1">
      <x:c r="A41" s="128" t="str">
        <x:v>Westerlands</x:v>
      </x:c>
      <x:c r="B41" s="128" t="n">
        <x:v>1</x:v>
      </x:c>
      <x:c r="C41" s="187" t="n">
        <x:f>Inputs!E8</x:f>
        <x:v>10000000</x:v>
      </x:c>
      <x:c r="D41" s="187" t="n">
        <x:f>((Income!B8*Income!$B$2+Income!C8*Income!$C$2)*Settings!B25+SUMPRODUCT(Income!D8:G8,Income!$D$2:$G$2)/12)*Inputs!P8+Income!N8/12</x:f>
        <x:v>251655</x:v>
      </x:c>
      <x:c r="E41" s="187" t="n">
        <x:f>Income!I8*Settings!C25</x:f>
        <x:v>0</x:v>
      </x:c>
      <x:c r="F41" s="187" t="n">
        <x:f>(Outlays!K8-Outlays!J8+Outlays!Q8)/12</x:f>
        <x:v>169166.66666666666</x:v>
      </x:c>
      <x:c r="G41" s="187" t="n">
        <x:f>Outlays!J8*Settings!C25</x:f>
        <x:v>0</x:v>
      </x:c>
      <x:c r="H41" s="187" t="n">
        <x:f>SUM(Outlays!L8:M8)*Settings!D25</x:f>
        <x:v>52500</x:v>
      </x:c>
      <x:c r="I41" s="187" t="n">
        <x:f>Debt!H8</x:f>
        <x:v>0</x:v>
      </x:c>
      <x:c r="J41" s="187" t="n">
        <x:f>0</x:f>
        <x:v>0</x:v>
      </x:c>
      <x:c r="K41" s="187" t="n">
        <x:f>C41+D41+E41-F41-G41-H41+I41-J41</x:f>
        <x:v>10029988.333333334</x:v>
      </x:c>
      <x:c r="L41" s="198" t="str">
        <x:f>IF(K41&lt;0,"UNFUNDED","Funded")</x:f>
        <x:v>Funded</x:v>
      </x:c>
    </x:row>
    <x:row r="42" ht="28" customHeight="1">
      <x:c r="A42" s="128" t="str">
        <x:v>Westerlands</x:v>
      </x:c>
      <x:c r="B42" s="128" t="n">
        <x:v>2</x:v>
      </x:c>
      <x:c r="C42" s="187" t="n">
        <x:f>K41</x:f>
        <x:v>10029988.333333334</x:v>
      </x:c>
      <x:c r="D42" s="187" t="n">
        <x:f>((Income!B8*Income!$B$2+Income!C8*Income!$C$2)*Settings!B26+SUMPRODUCT(Income!D8:G8,Income!$D$2:$G$2)/12)*Inputs!P8+Income!N8/12</x:f>
        <x:v>251655</x:v>
      </x:c>
      <x:c r="E42" s="187" t="n">
        <x:f>Income!I8*Settings!C26</x:f>
        <x:v>0</x:v>
      </x:c>
      <x:c r="F42" s="187" t="n">
        <x:f>(Outlays!K8-Outlays!J8+Outlays!Q8)/12</x:f>
        <x:v>169166.66666666666</x:v>
      </x:c>
      <x:c r="G42" s="187" t="n">
        <x:f>Outlays!J8*Settings!C26</x:f>
        <x:v>0</x:v>
      </x:c>
      <x:c r="H42" s="187" t="n">
        <x:f>SUM(Outlays!L8:M8)*Settings!D26</x:f>
        <x:v>52500</x:v>
      </x:c>
      <x:c r="I42" s="187" t="n">
        <x:f>0</x:f>
        <x:v>0</x:v>
      </x:c>
      <x:c r="J42" s="187" t="n">
        <x:f>0</x:f>
        <x:v>0</x:v>
      </x:c>
      <x:c r="K42" s="187" t="n">
        <x:f>C42+D42+E42-F42-G42-H42+I42-J42</x:f>
        <x:v>10059976.666666668</x:v>
      </x:c>
      <x:c r="L42" s="198" t="str">
        <x:f>IF(K42&lt;0,"UNFUNDED","Funded")</x:f>
        <x:v>Funded</x:v>
      </x:c>
    </x:row>
    <x:row r="43" ht="28" customHeight="1">
      <x:c r="A43" s="128" t="str">
        <x:v>Westerlands</x:v>
      </x:c>
      <x:c r="B43" s="128" t="n">
        <x:v>3</x:v>
      </x:c>
      <x:c r="C43" s="187" t="n">
        <x:f>K42</x:f>
        <x:v>10059976.666666668</x:v>
      </x:c>
      <x:c r="D43" s="187" t="n">
        <x:f>((Income!B8*Income!$B$2+Income!C8*Income!$C$2)*Settings!B27+SUMPRODUCT(Income!D8:G8,Income!$D$2:$G$2)/12)*Inputs!P8+Income!N8/12</x:f>
        <x:v>251655</x:v>
      </x:c>
      <x:c r="E43" s="187" t="n">
        <x:f>Income!I8*Settings!C27</x:f>
        <x:v>0</x:v>
      </x:c>
      <x:c r="F43" s="187" t="n">
        <x:f>(Outlays!K8-Outlays!J8+Outlays!Q8)/12</x:f>
        <x:v>169166.66666666666</x:v>
      </x:c>
      <x:c r="G43" s="187" t="n">
        <x:f>Outlays!J8*Settings!C27</x:f>
        <x:v>62500</x:v>
      </x:c>
      <x:c r="H43" s="187" t="n">
        <x:f>SUM(Outlays!L8:M8)*Settings!D27</x:f>
        <x:v>35000</x:v>
      </x:c>
      <x:c r="I43" s="187" t="n">
        <x:f>0</x:f>
        <x:v>0</x:v>
      </x:c>
      <x:c r="J43" s="187" t="n">
        <x:f>0</x:f>
        <x:v>0</x:v>
      </x:c>
      <x:c r="K43" s="187" t="n">
        <x:f>C43+D43+E43-F43-G43-H43+I43-J43</x:f>
        <x:v>10044965.000000002</x:v>
      </x:c>
      <x:c r="L43" s="198" t="str">
        <x:f>IF(K43&lt;0,"UNFUNDED","Funded")</x:f>
        <x:v>Funded</x:v>
      </x:c>
    </x:row>
    <x:row r="44" ht="28" customHeight="1">
      <x:c r="A44" s="128" t="str">
        <x:v>Westerlands</x:v>
      </x:c>
      <x:c r="B44" s="128" t="n">
        <x:v>4</x:v>
      </x:c>
      <x:c r="C44" s="187" t="n">
        <x:f>K43</x:f>
        <x:v>10044965.000000002</x:v>
      </x:c>
      <x:c r="D44" s="187" t="n">
        <x:f>((Income!B8*Income!$B$2+Income!C8*Income!$C$2)*Settings!B28+SUMPRODUCT(Income!D8:G8,Income!$D$2:$G$2)/12)*Inputs!P8+Income!N8/12</x:f>
        <x:v>251655</x:v>
      </x:c>
      <x:c r="E44" s="187" t="n">
        <x:f>Income!I8*Settings!C28</x:f>
        <x:v>0</x:v>
      </x:c>
      <x:c r="F44" s="187" t="n">
        <x:f>(Outlays!K8-Outlays!J8+Outlays!Q8)/12</x:f>
        <x:v>169166.66666666666</x:v>
      </x:c>
      <x:c r="G44" s="187" t="n">
        <x:f>Outlays!J8*Settings!C28</x:f>
        <x:v>0</x:v>
      </x:c>
      <x:c r="H44" s="187" t="n">
        <x:f>SUM(Outlays!L8:M8)*Settings!D28</x:f>
        <x:v>35000</x:v>
      </x:c>
      <x:c r="I44" s="187" t="n">
        <x:f>0</x:f>
        <x:v>0</x:v>
      </x:c>
      <x:c r="J44" s="187" t="n">
        <x:f>0</x:f>
        <x:v>0</x:v>
      </x:c>
      <x:c r="K44" s="187" t="n">
        <x:f>C44+D44+E44-F44-G44-H44+I44-J44</x:f>
        <x:v>10092453.333333336</x:v>
      </x:c>
      <x:c r="L44" s="198" t="str">
        <x:f>IF(K44&lt;0,"UNFUNDED","Funded")</x:f>
        <x:v>Funded</x:v>
      </x:c>
    </x:row>
    <x:row r="45" ht="28" customHeight="1">
      <x:c r="A45" s="128" t="str">
        <x:v>Westerlands</x:v>
      </x:c>
      <x:c r="B45" s="128" t="n">
        <x:v>5</x:v>
      </x:c>
      <x:c r="C45" s="187" t="n">
        <x:f>K44</x:f>
        <x:v>10092453.333333336</x:v>
      </x:c>
      <x:c r="D45" s="187" t="n">
        <x:f>((Income!B8*Income!$B$2+Income!C8*Income!$C$2)*Settings!B29+SUMPRODUCT(Income!D8:G8,Income!$D$2:$G$2)/12)*Inputs!P8+Income!N8/12</x:f>
        <x:v>251655</x:v>
      </x:c>
      <x:c r="E45" s="187" t="n">
        <x:f>Income!I8*Settings!C29</x:f>
        <x:v>0</x:v>
      </x:c>
      <x:c r="F45" s="187" t="n">
        <x:f>(Outlays!K8-Outlays!J8+Outlays!Q8)/12</x:f>
        <x:v>169166.66666666666</x:v>
      </x:c>
      <x:c r="G45" s="187" t="n">
        <x:f>Outlays!J8*Settings!C29</x:f>
        <x:v>0</x:v>
      </x:c>
      <x:c r="H45" s="187" t="n">
        <x:f>SUM(Outlays!L8:M8)*Settings!D29</x:f>
        <x:v>35000</x:v>
      </x:c>
      <x:c r="I45" s="187" t="n">
        <x:f>0</x:f>
        <x:v>0</x:v>
      </x:c>
      <x:c r="J45" s="187" t="n">
        <x:f>0</x:f>
        <x:v>0</x:v>
      </x:c>
      <x:c r="K45" s="187" t="n">
        <x:f>C45+D45+E45-F45-G45-H45+I45-J45</x:f>
        <x:v>10139941.66666667</x:v>
      </x:c>
      <x:c r="L45" s="198" t="str">
        <x:f>IF(K45&lt;0,"UNFUNDED","Funded")</x:f>
        <x:v>Funded</x:v>
      </x:c>
    </x:row>
    <x:row r="46" ht="28" customHeight="1">
      <x:c r="A46" s="128" t="str">
        <x:v>Westerlands</x:v>
      </x:c>
      <x:c r="B46" s="128" t="n">
        <x:v>6</x:v>
      </x:c>
      <x:c r="C46" s="187" t="n">
        <x:f>K45</x:f>
        <x:v>10139941.66666667</x:v>
      </x:c>
      <x:c r="D46" s="187" t="n">
        <x:f>((Income!B8*Income!$B$2+Income!C8*Income!$C$2)*Settings!B30+SUMPRODUCT(Income!D8:G8,Income!$D$2:$G$2)/12)*Inputs!P8+Income!N8/12</x:f>
        <x:v>297825</x:v>
      </x:c>
      <x:c r="E46" s="187" t="n">
        <x:f>Income!I8*Settings!C30</x:f>
        <x:v>0</x:v>
      </x:c>
      <x:c r="F46" s="187" t="n">
        <x:f>(Outlays!K8-Outlays!J8+Outlays!Q8)/12</x:f>
        <x:v>169166.66666666666</x:v>
      </x:c>
      <x:c r="G46" s="187" t="n">
        <x:f>Outlays!J8*Settings!C30</x:f>
        <x:v>62500</x:v>
      </x:c>
      <x:c r="H46" s="187" t="n">
        <x:f>SUM(Outlays!L8:M8)*Settings!D30</x:f>
        <x:v>35000</x:v>
      </x:c>
      <x:c r="I46" s="187" t="n">
        <x:f>0</x:f>
        <x:v>0</x:v>
      </x:c>
      <x:c r="J46" s="187" t="n">
        <x:f>0</x:f>
        <x:v>0</x:v>
      </x:c>
      <x:c r="K46" s="187" t="n">
        <x:f>C46+D46+E46-F46-G46-H46+I46-J46</x:f>
        <x:v>10171100.000000004</x:v>
      </x:c>
      <x:c r="L46" s="198" t="str">
        <x:f>IF(K46&lt;0,"UNFUNDED","Funded")</x:f>
        <x:v>Funded</x:v>
      </x:c>
    </x:row>
    <x:row r="47" ht="28" customHeight="1">
      <x:c r="A47" s="128" t="str">
        <x:v>Westerlands</x:v>
      </x:c>
      <x:c r="B47" s="128" t="n">
        <x:v>7</x:v>
      </x:c>
      <x:c r="C47" s="187" t="n">
        <x:f>K46</x:f>
        <x:v>10171100.000000004</x:v>
      </x:c>
      <x:c r="D47" s="187" t="n">
        <x:f>((Income!B8*Income!$B$2+Income!C8*Income!$C$2)*Settings!B31+SUMPRODUCT(Income!D8:G8,Income!$D$2:$G$2)/12)*Inputs!P8+Income!N8/12</x:f>
        <x:v>251655</x:v>
      </x:c>
      <x:c r="E47" s="187" t="n">
        <x:f>Income!I8*Settings!C31</x:f>
        <x:v>0</x:v>
      </x:c>
      <x:c r="F47" s="187" t="n">
        <x:f>(Outlays!K8-Outlays!J8+Outlays!Q8)/12</x:f>
        <x:v>169166.66666666666</x:v>
      </x:c>
      <x:c r="G47" s="187" t="n">
        <x:f>Outlays!J8*Settings!C31</x:f>
        <x:v>0</x:v>
      </x:c>
      <x:c r="H47" s="187" t="n">
        <x:f>SUM(Outlays!L8:M8)*Settings!D31</x:f>
        <x:v>17500</x:v>
      </x:c>
      <x:c r="I47" s="187" t="n">
        <x:f>0</x:f>
        <x:v>0</x:v>
      </x:c>
      <x:c r="J47" s="187" t="n">
        <x:f>0</x:f>
        <x:v>0</x:v>
      </x:c>
      <x:c r="K47" s="187" t="n">
        <x:f>C47+D47+E47-F47-G47-H47+I47-J47</x:f>
        <x:v>10236088.333333338</x:v>
      </x:c>
      <x:c r="L47" s="198" t="str">
        <x:f>IF(K47&lt;0,"UNFUNDED","Funded")</x:f>
        <x:v>Funded</x:v>
      </x:c>
    </x:row>
    <x:row r="48" ht="28" customHeight="1">
      <x:c r="A48" s="128" t="str">
        <x:v>Westerlands</x:v>
      </x:c>
      <x:c r="B48" s="128" t="n">
        <x:v>8</x:v>
      </x:c>
      <x:c r="C48" s="187" t="n">
        <x:f>K47</x:f>
        <x:v>10236088.333333338</x:v>
      </x:c>
      <x:c r="D48" s="187" t="n">
        <x:f>((Income!B8*Income!$B$2+Income!C8*Income!$C$2)*Settings!B32+SUMPRODUCT(Income!D8:G8,Income!$D$2:$G$2)/12)*Inputs!P8+Income!N8/12</x:f>
        <x:v>251655</x:v>
      </x:c>
      <x:c r="E48" s="187" t="n">
        <x:f>Income!I8*Settings!C32</x:f>
        <x:v>0</x:v>
      </x:c>
      <x:c r="F48" s="187" t="n">
        <x:f>(Outlays!K8-Outlays!J8+Outlays!Q8)/12</x:f>
        <x:v>169166.66666666666</x:v>
      </x:c>
      <x:c r="G48" s="187" t="n">
        <x:f>Outlays!J8*Settings!C32</x:f>
        <x:v>0</x:v>
      </x:c>
      <x:c r="H48" s="187" t="n">
        <x:f>SUM(Outlays!L8:M8)*Settings!D32</x:f>
        <x:v>17500</x:v>
      </x:c>
      <x:c r="I48" s="187" t="n">
        <x:f>0</x:f>
        <x:v>0</x:v>
      </x:c>
      <x:c r="J48" s="187" t="n">
        <x:f>0</x:f>
        <x:v>0</x:v>
      </x:c>
      <x:c r="K48" s="187" t="n">
        <x:f>C48+D48+E48-F48-G48-H48+I48-J48</x:f>
        <x:v>10301076.666666672</x:v>
      </x:c>
      <x:c r="L48" s="198" t="str">
        <x:f>IF(K48&lt;0,"UNFUNDED","Funded")</x:f>
        <x:v>Funded</x:v>
      </x:c>
    </x:row>
    <x:row r="49" ht="28" customHeight="1">
      <x:c r="A49" s="128" t="str">
        <x:v>Westerlands</x:v>
      </x:c>
      <x:c r="B49" s="128" t="n">
        <x:v>9</x:v>
      </x:c>
      <x:c r="C49" s="187" t="n">
        <x:f>K48</x:f>
        <x:v>10301076.666666672</x:v>
      </x:c>
      <x:c r="D49" s="187" t="n">
        <x:f>((Income!B8*Income!$B$2+Income!C8*Income!$C$2)*Settings!B33+SUMPRODUCT(Income!D8:G8,Income!$D$2:$G$2)/12)*Inputs!P8+Income!N8/12</x:f>
        <x:v>490200</x:v>
      </x:c>
      <x:c r="E49" s="187" t="n">
        <x:f>Income!I8*Settings!C33</x:f>
        <x:v>0</x:v>
      </x:c>
      <x:c r="F49" s="187" t="n">
        <x:f>(Outlays!K8-Outlays!J8+Outlays!Q8)/12</x:f>
        <x:v>169166.66666666666</x:v>
      </x:c>
      <x:c r="G49" s="187" t="n">
        <x:f>Outlays!J8*Settings!C33</x:f>
        <x:v>62500</x:v>
      </x:c>
      <x:c r="H49" s="187" t="n">
        <x:f>SUM(Outlays!L8:M8)*Settings!D33</x:f>
        <x:v>17500</x:v>
      </x:c>
      <x:c r="I49" s="187" t="n">
        <x:f>0</x:f>
        <x:v>0</x:v>
      </x:c>
      <x:c r="J49" s="187" t="n">
        <x:f>0</x:f>
        <x:v>0</x:v>
      </x:c>
      <x:c r="K49" s="187" t="n">
        <x:f>C49+D49+E49-F49-G49-H49+I49-J49</x:f>
        <x:v>10542110.000000006</x:v>
      </x:c>
      <x:c r="L49" s="198" t="str">
        <x:f>IF(K49&lt;0,"UNFUNDED","Funded")</x:f>
        <x:v>Funded</x:v>
      </x:c>
    </x:row>
    <x:row r="50" ht="28" customHeight="1">
      <x:c r="A50" s="128" t="str">
        <x:v>Westerlands</x:v>
      </x:c>
      <x:c r="B50" s="128" t="n">
        <x:v>10</x:v>
      </x:c>
      <x:c r="C50" s="187" t="n">
        <x:f>K49</x:f>
        <x:v>10542110.000000006</x:v>
      </x:c>
      <x:c r="D50" s="187" t="n">
        <x:f>((Income!B8*Income!$B$2+Income!C8*Income!$C$2)*Settings!B34+SUMPRODUCT(Income!D8:G8,Income!$D$2:$G$2)/12)*Inputs!P8+Income!N8/12</x:f>
        <x:v>336300</x:v>
      </x:c>
      <x:c r="E50" s="187" t="n">
        <x:f>Income!I8*Settings!C34</x:f>
        <x:v>0</x:v>
      </x:c>
      <x:c r="F50" s="187" t="n">
        <x:f>(Outlays!K8-Outlays!J8+Outlays!Q8)/12</x:f>
        <x:v>169166.66666666666</x:v>
      </x:c>
      <x:c r="G50" s="187" t="n">
        <x:f>Outlays!J8*Settings!C34</x:f>
        <x:v>0</x:v>
      </x:c>
      <x:c r="H50" s="187" t="n">
        <x:f>SUM(Outlays!L8:M8)*Settings!D34</x:f>
        <x:v>17500</x:v>
      </x:c>
      <x:c r="I50" s="187" t="n">
        <x:f>0</x:f>
        <x:v>0</x:v>
      </x:c>
      <x:c r="J50" s="187" t="n">
        <x:f>0</x:f>
        <x:v>0</x:v>
      </x:c>
      <x:c r="K50" s="187" t="n">
        <x:f>C50+D50+E50-F50-G50-H50+I50-J50</x:f>
        <x:v>10691743.33333334</x:v>
      </x:c>
      <x:c r="L50" s="198" t="str">
        <x:f>IF(K50&lt;0,"UNFUNDED","Funded")</x:f>
        <x:v>Funded</x:v>
      </x:c>
    </x:row>
    <x:row r="51" ht="28" customHeight="1">
      <x:c r="A51" s="128" t="str">
        <x:v>Westerlands</x:v>
      </x:c>
      <x:c r="B51" s="128" t="n">
        <x:v>11</x:v>
      </x:c>
      <x:c r="C51" s="187" t="n">
        <x:f>K50</x:f>
        <x:v>10691743.33333334</x:v>
      </x:c>
      <x:c r="D51" s="187" t="n">
        <x:f>((Income!B8*Income!$B$2+Income!C8*Income!$C$2)*Settings!B35+SUMPRODUCT(Income!D8:G8,Income!$D$2:$G$2)/12)*Inputs!P8+Income!N8/12</x:f>
        <x:v>251655</x:v>
      </x:c>
      <x:c r="E51" s="187" t="n">
        <x:f>Income!I8*Settings!C35</x:f>
        <x:v>0</x:v>
      </x:c>
      <x:c r="F51" s="187" t="n">
        <x:f>(Outlays!K8-Outlays!J8+Outlays!Q8)/12</x:f>
        <x:v>169166.66666666666</x:v>
      </x:c>
      <x:c r="G51" s="187" t="n">
        <x:f>Outlays!J8*Settings!C35</x:f>
        <x:v>0</x:v>
      </x:c>
      <x:c r="H51" s="187" t="n">
        <x:f>SUM(Outlays!L8:M8)*Settings!D35</x:f>
        <x:v>17500</x:v>
      </x:c>
      <x:c r="I51" s="187" t="n">
        <x:f>0</x:f>
        <x:v>0</x:v>
      </x:c>
      <x:c r="J51" s="187" t="n">
        <x:f>0</x:f>
        <x:v>0</x:v>
      </x:c>
      <x:c r="K51" s="187" t="n">
        <x:f>C51+D51+E51-F51-G51-H51+I51-J51</x:f>
        <x:v>10756731.666666673</x:v>
      </x:c>
      <x:c r="L51" s="198" t="str">
        <x:f>IF(K51&lt;0,"UNFUNDED","Funded")</x:f>
        <x:v>Funded</x:v>
      </x:c>
    </x:row>
    <x:row r="52" ht="28" customHeight="1">
      <x:c r="A52" s="199" t="str">
        <x:v>Westerlands</x:v>
      </x:c>
      <x:c r="B52" s="199" t="n">
        <x:v>12</x:v>
      </x:c>
      <x:c r="C52" s="200" t="n">
        <x:f>K51</x:f>
        <x:v>10756731.666666673</x:v>
      </x:c>
      <x:c r="D52" s="200" t="n">
        <x:f>((Income!B8*Income!$B$2+Income!C8*Income!$C$2)*Settings!B36+SUMPRODUCT(Income!D8:G8,Income!$D$2:$G$2)/12)*Inputs!P8+Income!N8/12</x:f>
        <x:v>282435</x:v>
      </x:c>
      <x:c r="E52" s="200" t="n">
        <x:f>Income!I8*Settings!C36</x:f>
        <x:v>0</x:v>
      </x:c>
      <x:c r="F52" s="200" t="n">
        <x:f>(Outlays!K8-Outlays!J8+Outlays!Q8)/12</x:f>
        <x:v>169166.66666666666</x:v>
      </x:c>
      <x:c r="G52" s="200" t="n">
        <x:f>Outlays!J8*Settings!C36</x:f>
        <x:v>62500</x:v>
      </x:c>
      <x:c r="H52" s="200" t="n">
        <x:f>SUM(Outlays!L8:M8)*Settings!D36</x:f>
        <x:v>17500</x:v>
      </x:c>
      <x:c r="I52" s="200" t="n">
        <x:f>0</x:f>
        <x:v>0</x:v>
      </x:c>
      <x:c r="J52" s="200" t="n">
        <x:f>Debt!G8</x:f>
        <x:v>0</x:v>
      </x:c>
      <x:c r="K52" s="200" t="n">
        <x:f>C52+D52+E52-F52-G52-H52+I52-J52</x:f>
        <x:v>10790000.000000007</x:v>
      </x:c>
      <x:c r="L52" s="201" t="str">
        <x:f>IF(K52&lt;0,"UNFUNDED","Funded")</x:f>
        <x:v>Funded</x:v>
      </x:c>
    </x:row>
    <x:row r="53" ht="28" customHeight="1">
      <x:c r="A53" s="128" t="str">
        <x:v>Reach</x:v>
      </x:c>
      <x:c r="B53" s="128" t="n">
        <x:v>1</x:v>
      </x:c>
      <x:c r="C53" s="187" t="n">
        <x:f>Inputs!E9</x:f>
        <x:v>3000000</x:v>
      </x:c>
      <x:c r="D53" s="187" t="n">
        <x:f>((Income!B9*Income!$B$2+Income!C9*Income!$C$2)*Settings!B25+SUMPRODUCT(Income!D9:G9,Income!$D$2:$G$2)/12)*Inputs!P9+Income!N9/12</x:f>
        <x:v>155675</x:v>
      </x:c>
      <x:c r="E53" s="187" t="n">
        <x:f>Income!I9*Settings!C25</x:f>
        <x:v>0</x:v>
      </x:c>
      <x:c r="F53" s="187" t="n">
        <x:f>(Outlays!K9-Outlays!J9+Outlays!Q9)/12</x:f>
        <x:v>153500</x:v>
      </x:c>
      <x:c r="G53" s="187" t="n">
        <x:f>Outlays!J9*Settings!C25</x:f>
        <x:v>0</x:v>
      </x:c>
      <x:c r="H53" s="187" t="n">
        <x:f>SUM(Outlays!L9:M9)*Settings!D25</x:f>
        <x:v>60000</x:v>
      </x:c>
      <x:c r="I53" s="187" t="n">
        <x:f>Debt!H9</x:f>
        <x:v>0</x:v>
      </x:c>
      <x:c r="J53" s="187" t="n">
        <x:f>0</x:f>
        <x:v>0</x:v>
      </x:c>
      <x:c r="K53" s="187" t="n">
        <x:f>C53+D53+E53-F53-G53-H53+I53-J53</x:f>
        <x:v>2942175</x:v>
      </x:c>
      <x:c r="L53" s="198" t="str">
        <x:f>IF(K53&lt;0,"UNFUNDED","Funded")</x:f>
        <x:v>Funded</x:v>
      </x:c>
    </x:row>
    <x:row r="54" ht="28" customHeight="1">
      <x:c r="A54" s="128" t="str">
        <x:v>Reach</x:v>
      </x:c>
      <x:c r="B54" s="128" t="n">
        <x:v>2</x:v>
      </x:c>
      <x:c r="C54" s="187" t="n">
        <x:f>K53</x:f>
        <x:v>2942175</x:v>
      </x:c>
      <x:c r="D54" s="187" t="n">
        <x:f>((Income!B9*Income!$B$2+Income!C9*Income!$C$2)*Settings!B26+SUMPRODUCT(Income!D9:G9,Income!$D$2:$G$2)/12)*Inputs!P9+Income!N9/12</x:f>
        <x:v>155675</x:v>
      </x:c>
      <x:c r="E54" s="187" t="n">
        <x:f>Income!I9*Settings!C26</x:f>
        <x:v>0</x:v>
      </x:c>
      <x:c r="F54" s="187" t="n">
        <x:f>(Outlays!K9-Outlays!J9+Outlays!Q9)/12</x:f>
        <x:v>153500</x:v>
      </x:c>
      <x:c r="G54" s="187" t="n">
        <x:f>Outlays!J9*Settings!C26</x:f>
        <x:v>0</x:v>
      </x:c>
      <x:c r="H54" s="187" t="n">
        <x:f>SUM(Outlays!L9:M9)*Settings!D26</x:f>
        <x:v>60000</x:v>
      </x:c>
      <x:c r="I54" s="187" t="n">
        <x:f>0</x:f>
        <x:v>0</x:v>
      </x:c>
      <x:c r="J54" s="187" t="n">
        <x:f>0</x:f>
        <x:v>0</x:v>
      </x:c>
      <x:c r="K54" s="187" t="n">
        <x:f>C54+D54+E54-F54-G54-H54+I54-J54</x:f>
        <x:v>2884350</x:v>
      </x:c>
      <x:c r="L54" s="198" t="str">
        <x:f>IF(K54&lt;0,"UNFUNDED","Funded")</x:f>
        <x:v>Funded</x:v>
      </x:c>
    </x:row>
    <x:row r="55" ht="28" customHeight="1">
      <x:c r="A55" s="128" t="str">
        <x:v>Reach</x:v>
      </x:c>
      <x:c r="B55" s="128" t="n">
        <x:v>3</x:v>
      </x:c>
      <x:c r="C55" s="187" t="n">
        <x:f>K54</x:f>
        <x:v>2884350</x:v>
      </x:c>
      <x:c r="D55" s="187" t="n">
        <x:f>((Income!B9*Income!$B$2+Income!C9*Income!$C$2)*Settings!B27+SUMPRODUCT(Income!D9:G9,Income!$D$2:$G$2)/12)*Inputs!P9+Income!N9/12</x:f>
        <x:v>155675</x:v>
      </x:c>
      <x:c r="E55" s="187" t="n">
        <x:f>Income!I9*Settings!C27</x:f>
        <x:v>0</x:v>
      </x:c>
      <x:c r="F55" s="187" t="n">
        <x:f>(Outlays!K9-Outlays!J9+Outlays!Q9)/12</x:f>
        <x:v>153500</x:v>
      </x:c>
      <x:c r="G55" s="187" t="n">
        <x:f>Outlays!J9*Settings!C27</x:f>
        <x:v>75000</x:v>
      </x:c>
      <x:c r="H55" s="187" t="n">
        <x:f>SUM(Outlays!L9:M9)*Settings!D27</x:f>
        <x:v>40000</x:v>
      </x:c>
      <x:c r="I55" s="187" t="n">
        <x:f>0</x:f>
        <x:v>0</x:v>
      </x:c>
      <x:c r="J55" s="187" t="n">
        <x:f>0</x:f>
        <x:v>0</x:v>
      </x:c>
      <x:c r="K55" s="187" t="n">
        <x:f>C55+D55+E55-F55-G55-H55+I55-J55</x:f>
        <x:v>2771525</x:v>
      </x:c>
      <x:c r="L55" s="198" t="str">
        <x:f>IF(K55&lt;0,"UNFUNDED","Funded")</x:f>
        <x:v>Funded</x:v>
      </x:c>
    </x:row>
    <x:row r="56" ht="28" customHeight="1">
      <x:c r="A56" s="128" t="str">
        <x:v>Reach</x:v>
      </x:c>
      <x:c r="B56" s="128" t="n">
        <x:v>4</x:v>
      </x:c>
      <x:c r="C56" s="187" t="n">
        <x:f>K55</x:f>
        <x:v>2771525</x:v>
      </x:c>
      <x:c r="D56" s="187" t="n">
        <x:f>((Income!B9*Income!$B$2+Income!C9*Income!$C$2)*Settings!B28+SUMPRODUCT(Income!D9:G9,Income!$D$2:$G$2)/12)*Inputs!P9+Income!N9/12</x:f>
        <x:v>155675</x:v>
      </x:c>
      <x:c r="E56" s="187" t="n">
        <x:f>Income!I9*Settings!C28</x:f>
        <x:v>0</x:v>
      </x:c>
      <x:c r="F56" s="187" t="n">
        <x:f>(Outlays!K9-Outlays!J9+Outlays!Q9)/12</x:f>
        <x:v>153500</x:v>
      </x:c>
      <x:c r="G56" s="187" t="n">
        <x:f>Outlays!J9*Settings!C28</x:f>
        <x:v>0</x:v>
      </x:c>
      <x:c r="H56" s="187" t="n">
        <x:f>SUM(Outlays!L9:M9)*Settings!D28</x:f>
        <x:v>40000</x:v>
      </x:c>
      <x:c r="I56" s="187" t="n">
        <x:f>0</x:f>
        <x:v>0</x:v>
      </x:c>
      <x:c r="J56" s="187" t="n">
        <x:f>0</x:f>
        <x:v>0</x:v>
      </x:c>
      <x:c r="K56" s="187" t="n">
        <x:f>C56+D56+E56-F56-G56-H56+I56-J56</x:f>
        <x:v>2733700</x:v>
      </x:c>
      <x:c r="L56" s="198" t="str">
        <x:f>IF(K56&lt;0,"UNFUNDED","Funded")</x:f>
        <x:v>Funded</x:v>
      </x:c>
    </x:row>
    <x:row r="57" ht="28" customHeight="1">
      <x:c r="A57" s="128" t="str">
        <x:v>Reach</x:v>
      </x:c>
      <x:c r="B57" s="128" t="n">
        <x:v>5</x:v>
      </x:c>
      <x:c r="C57" s="187" t="n">
        <x:f>K56</x:f>
        <x:v>2733700</x:v>
      </x:c>
      <x:c r="D57" s="187" t="n">
        <x:f>((Income!B9*Income!$B$2+Income!C9*Income!$C$2)*Settings!B29+SUMPRODUCT(Income!D9:G9,Income!$D$2:$G$2)/12)*Inputs!P9+Income!N9/12</x:f>
        <x:v>155675</x:v>
      </x:c>
      <x:c r="E57" s="187" t="n">
        <x:f>Income!I9*Settings!C29</x:f>
        <x:v>0</x:v>
      </x:c>
      <x:c r="F57" s="187" t="n">
        <x:f>(Outlays!K9-Outlays!J9+Outlays!Q9)/12</x:f>
        <x:v>153500</x:v>
      </x:c>
      <x:c r="G57" s="187" t="n">
        <x:f>Outlays!J9*Settings!C29</x:f>
        <x:v>0</x:v>
      </x:c>
      <x:c r="H57" s="187" t="n">
        <x:f>SUM(Outlays!L9:M9)*Settings!D29</x:f>
        <x:v>40000</x:v>
      </x:c>
      <x:c r="I57" s="187" t="n">
        <x:f>0</x:f>
        <x:v>0</x:v>
      </x:c>
      <x:c r="J57" s="187" t="n">
        <x:f>0</x:f>
        <x:v>0</x:v>
      </x:c>
      <x:c r="K57" s="187" t="n">
        <x:f>C57+D57+E57-F57-G57-H57+I57-J57</x:f>
        <x:v>2695875</x:v>
      </x:c>
      <x:c r="L57" s="198" t="str">
        <x:f>IF(K57&lt;0,"UNFUNDED","Funded")</x:f>
        <x:v>Funded</x:v>
      </x:c>
    </x:row>
    <x:row r="58" ht="28" customHeight="1">
      <x:c r="A58" s="128" t="str">
        <x:v>Reach</x:v>
      </x:c>
      <x:c r="B58" s="128" t="n">
        <x:v>6</x:v>
      </x:c>
      <x:c r="C58" s="187" t="n">
        <x:f>K57</x:f>
        <x:v>2695875</x:v>
      </x:c>
      <x:c r="D58" s="187" t="n">
        <x:f>((Income!B9*Income!$B$2+Income!C9*Income!$C$2)*Settings!B30+SUMPRODUCT(Income!D9:G9,Income!$D$2:$G$2)/12)*Inputs!P9+Income!N9/12</x:f>
        <x:v>255125</x:v>
      </x:c>
      <x:c r="E58" s="187" t="n">
        <x:f>Income!I9*Settings!C30</x:f>
        <x:v>0</x:v>
      </x:c>
      <x:c r="F58" s="187" t="n">
        <x:f>(Outlays!K9-Outlays!J9+Outlays!Q9)/12</x:f>
        <x:v>153500</x:v>
      </x:c>
      <x:c r="G58" s="187" t="n">
        <x:f>Outlays!J9*Settings!C30</x:f>
        <x:v>75000</x:v>
      </x:c>
      <x:c r="H58" s="187" t="n">
        <x:f>SUM(Outlays!L9:M9)*Settings!D30</x:f>
        <x:v>40000</x:v>
      </x:c>
      <x:c r="I58" s="187" t="n">
        <x:f>0</x:f>
        <x:v>0</x:v>
      </x:c>
      <x:c r="J58" s="187" t="n">
        <x:f>0</x:f>
        <x:v>0</x:v>
      </x:c>
      <x:c r="K58" s="187" t="n">
        <x:f>C58+D58+E58-F58-G58-H58+I58-J58</x:f>
        <x:v>2682500</x:v>
      </x:c>
      <x:c r="L58" s="198" t="str">
        <x:f>IF(K58&lt;0,"UNFUNDED","Funded")</x:f>
        <x:v>Funded</x:v>
      </x:c>
    </x:row>
    <x:row r="59" ht="28" customHeight="1">
      <x:c r="A59" s="128" t="str">
        <x:v>Reach</x:v>
      </x:c>
      <x:c r="B59" s="128" t="n">
        <x:v>7</x:v>
      </x:c>
      <x:c r="C59" s="187" t="n">
        <x:f>K58</x:f>
        <x:v>2682500</x:v>
      </x:c>
      <x:c r="D59" s="187" t="n">
        <x:f>((Income!B9*Income!$B$2+Income!C9*Income!$C$2)*Settings!B31+SUMPRODUCT(Income!D9:G9,Income!$D$2:$G$2)/12)*Inputs!P9+Income!N9/12</x:f>
        <x:v>155675</x:v>
      </x:c>
      <x:c r="E59" s="187" t="n">
        <x:f>Income!I9*Settings!C31</x:f>
        <x:v>0</x:v>
      </x:c>
      <x:c r="F59" s="187" t="n">
        <x:f>(Outlays!K9-Outlays!J9+Outlays!Q9)/12</x:f>
        <x:v>153500</x:v>
      </x:c>
      <x:c r="G59" s="187" t="n">
        <x:f>Outlays!J9*Settings!C31</x:f>
        <x:v>0</x:v>
      </x:c>
      <x:c r="H59" s="187" t="n">
        <x:f>SUM(Outlays!L9:M9)*Settings!D31</x:f>
        <x:v>20000</x:v>
      </x:c>
      <x:c r="I59" s="187" t="n">
        <x:f>0</x:f>
        <x:v>0</x:v>
      </x:c>
      <x:c r="J59" s="187" t="n">
        <x:f>0</x:f>
        <x:v>0</x:v>
      </x:c>
      <x:c r="K59" s="187" t="n">
        <x:f>C59+D59+E59-F59-G59-H59+I59-J59</x:f>
        <x:v>2664675</x:v>
      </x:c>
      <x:c r="L59" s="198" t="str">
        <x:f>IF(K59&lt;0,"UNFUNDED","Funded")</x:f>
        <x:v>Funded</x:v>
      </x:c>
    </x:row>
    <x:row r="60" ht="28" customHeight="1">
      <x:c r="A60" s="128" t="str">
        <x:v>Reach</x:v>
      </x:c>
      <x:c r="B60" s="128" t="n">
        <x:v>8</x:v>
      </x:c>
      <x:c r="C60" s="187" t="n">
        <x:f>K59</x:f>
        <x:v>2664675</x:v>
      </x:c>
      <x:c r="D60" s="187" t="n">
        <x:f>((Income!B9*Income!$B$2+Income!C9*Income!$C$2)*Settings!B32+SUMPRODUCT(Income!D9:G9,Income!$D$2:$G$2)/12)*Inputs!P9+Income!N9/12</x:f>
        <x:v>155675</x:v>
      </x:c>
      <x:c r="E60" s="187" t="n">
        <x:f>Income!I9*Settings!C32</x:f>
        <x:v>0</x:v>
      </x:c>
      <x:c r="F60" s="187" t="n">
        <x:f>(Outlays!K9-Outlays!J9+Outlays!Q9)/12</x:f>
        <x:v>153500</x:v>
      </x:c>
      <x:c r="G60" s="187" t="n">
        <x:f>Outlays!J9*Settings!C32</x:f>
        <x:v>0</x:v>
      </x:c>
      <x:c r="H60" s="187" t="n">
        <x:f>SUM(Outlays!L9:M9)*Settings!D32</x:f>
        <x:v>20000</x:v>
      </x:c>
      <x:c r="I60" s="187" t="n">
        <x:f>0</x:f>
        <x:v>0</x:v>
      </x:c>
      <x:c r="J60" s="187" t="n">
        <x:f>0</x:f>
        <x:v>0</x:v>
      </x:c>
      <x:c r="K60" s="187" t="n">
        <x:f>C60+D60+E60-F60-G60-H60+I60-J60</x:f>
        <x:v>2646850</x:v>
      </x:c>
      <x:c r="L60" s="198" t="str">
        <x:f>IF(K60&lt;0,"UNFUNDED","Funded")</x:f>
        <x:v>Funded</x:v>
      </x:c>
    </x:row>
    <x:row r="61" ht="28" customHeight="1">
      <x:c r="A61" s="128" t="str">
        <x:v>Reach</x:v>
      </x:c>
      <x:c r="B61" s="128" t="n">
        <x:v>9</x:v>
      </x:c>
      <x:c r="C61" s="187" t="n">
        <x:f>K60</x:f>
        <x:v>2646850</x:v>
      </x:c>
      <x:c r="D61" s="187" t="n">
        <x:f>((Income!B9*Income!$B$2+Income!C9*Income!$C$2)*Settings!B33+SUMPRODUCT(Income!D9:G9,Income!$D$2:$G$2)/12)*Inputs!P9+Income!N9/12</x:f>
        <x:v>669500</x:v>
      </x:c>
      <x:c r="E61" s="187" t="n">
        <x:f>Income!I9*Settings!C33</x:f>
        <x:v>0</x:v>
      </x:c>
      <x:c r="F61" s="187" t="n">
        <x:f>(Outlays!K9-Outlays!J9+Outlays!Q9)/12</x:f>
        <x:v>153500</x:v>
      </x:c>
      <x:c r="G61" s="187" t="n">
        <x:f>Outlays!J9*Settings!C33</x:f>
        <x:v>75000</x:v>
      </x:c>
      <x:c r="H61" s="187" t="n">
        <x:f>SUM(Outlays!L9:M9)*Settings!D33</x:f>
        <x:v>20000</x:v>
      </x:c>
      <x:c r="I61" s="187" t="n">
        <x:f>0</x:f>
        <x:v>0</x:v>
      </x:c>
      <x:c r="J61" s="187" t="n">
        <x:f>0</x:f>
        <x:v>0</x:v>
      </x:c>
      <x:c r="K61" s="187" t="n">
        <x:f>C61+D61+E61-F61-G61-H61+I61-J61</x:f>
        <x:v>3067850</x:v>
      </x:c>
      <x:c r="L61" s="198" t="str">
        <x:f>IF(K61&lt;0,"UNFUNDED","Funded")</x:f>
        <x:v>Funded</x:v>
      </x:c>
    </x:row>
    <x:row r="62" ht="28" customHeight="1">
      <x:c r="A62" s="128" t="str">
        <x:v>Reach</x:v>
      </x:c>
      <x:c r="B62" s="128" t="n">
        <x:v>10</x:v>
      </x:c>
      <x:c r="C62" s="187" t="n">
        <x:f>K61</x:f>
        <x:v>3067850</x:v>
      </x:c>
      <x:c r="D62" s="187" t="n">
        <x:f>((Income!B9*Income!$B$2+Income!C9*Income!$C$2)*Settings!B34+SUMPRODUCT(Income!D9:G9,Income!$D$2:$G$2)/12)*Inputs!P9+Income!N9/12</x:f>
        <x:v>338000</x:v>
      </x:c>
      <x:c r="E62" s="187" t="n">
        <x:f>Income!I9*Settings!C34</x:f>
        <x:v>0</x:v>
      </x:c>
      <x:c r="F62" s="187" t="n">
        <x:f>(Outlays!K9-Outlays!J9+Outlays!Q9)/12</x:f>
        <x:v>153500</x:v>
      </x:c>
      <x:c r="G62" s="187" t="n">
        <x:f>Outlays!J9*Settings!C34</x:f>
        <x:v>0</x:v>
      </x:c>
      <x:c r="H62" s="187" t="n">
        <x:f>SUM(Outlays!L9:M9)*Settings!D34</x:f>
        <x:v>20000</x:v>
      </x:c>
      <x:c r="I62" s="187" t="n">
        <x:f>0</x:f>
        <x:v>0</x:v>
      </x:c>
      <x:c r="J62" s="187" t="n">
        <x:f>0</x:f>
        <x:v>0</x:v>
      </x:c>
      <x:c r="K62" s="187" t="n">
        <x:f>C62+D62+E62-F62-G62-H62+I62-J62</x:f>
        <x:v>3232350</x:v>
      </x:c>
      <x:c r="L62" s="198" t="str">
        <x:f>IF(K62&lt;0,"UNFUNDED","Funded")</x:f>
        <x:v>Funded</x:v>
      </x:c>
    </x:row>
    <x:row r="63" ht="28" customHeight="1">
      <x:c r="A63" s="128" t="str">
        <x:v>Reach</x:v>
      </x:c>
      <x:c r="B63" s="128" t="n">
        <x:v>11</x:v>
      </x:c>
      <x:c r="C63" s="187" t="n">
        <x:f>K62</x:f>
        <x:v>3232350</x:v>
      </x:c>
      <x:c r="D63" s="187" t="n">
        <x:f>((Income!B9*Income!$B$2+Income!C9*Income!$C$2)*Settings!B35+SUMPRODUCT(Income!D9:G9,Income!$D$2:$G$2)/12)*Inputs!P9+Income!N9/12</x:f>
        <x:v>155675</x:v>
      </x:c>
      <x:c r="E63" s="187" t="n">
        <x:f>Income!I9*Settings!C35</x:f>
        <x:v>0</x:v>
      </x:c>
      <x:c r="F63" s="187" t="n">
        <x:f>(Outlays!K9-Outlays!J9+Outlays!Q9)/12</x:f>
        <x:v>153500</x:v>
      </x:c>
      <x:c r="G63" s="187" t="n">
        <x:f>Outlays!J9*Settings!C35</x:f>
        <x:v>0</x:v>
      </x:c>
      <x:c r="H63" s="187" t="n">
        <x:f>SUM(Outlays!L9:M9)*Settings!D35</x:f>
        <x:v>20000</x:v>
      </x:c>
      <x:c r="I63" s="187" t="n">
        <x:f>0</x:f>
        <x:v>0</x:v>
      </x:c>
      <x:c r="J63" s="187" t="n">
        <x:f>0</x:f>
        <x:v>0</x:v>
      </x:c>
      <x:c r="K63" s="187" t="n">
        <x:f>C63+D63+E63-F63-G63-H63+I63-J63</x:f>
        <x:v>3214525</x:v>
      </x:c>
      <x:c r="L63" s="198" t="str">
        <x:f>IF(K63&lt;0,"UNFUNDED","Funded")</x:f>
        <x:v>Funded</x:v>
      </x:c>
    </x:row>
    <x:row r="64" ht="28" customHeight="1">
      <x:c r="A64" s="199" t="str">
        <x:v>Reach</x:v>
      </x:c>
      <x:c r="B64" s="199" t="n">
        <x:v>12</x:v>
      </x:c>
      <x:c r="C64" s="200" t="n">
        <x:f>K63</x:f>
        <x:v>3214525</x:v>
      </x:c>
      <x:c r="D64" s="200" t="n">
        <x:f>((Income!B9*Income!$B$2+Income!C9*Income!$C$2)*Settings!B36+SUMPRODUCT(Income!D9:G9,Income!$D$2:$G$2)/12)*Inputs!P9+Income!N9/12</x:f>
        <x:v>221975</x:v>
      </x:c>
      <x:c r="E64" s="200" t="n">
        <x:f>Income!I9*Settings!C36</x:f>
        <x:v>0</x:v>
      </x:c>
      <x:c r="F64" s="200" t="n">
        <x:f>(Outlays!K9-Outlays!J9+Outlays!Q9)/12</x:f>
        <x:v>153500</x:v>
      </x:c>
      <x:c r="G64" s="200" t="n">
        <x:f>Outlays!J9*Settings!C36</x:f>
        <x:v>75000</x:v>
      </x:c>
      <x:c r="H64" s="200" t="n">
        <x:f>SUM(Outlays!L9:M9)*Settings!D36</x:f>
        <x:v>20000</x:v>
      </x:c>
      <x:c r="I64" s="200" t="n">
        <x:f>0</x:f>
        <x:v>0</x:v>
      </x:c>
      <x:c r="J64" s="200" t="n">
        <x:f>Debt!G9</x:f>
        <x:v>50000</x:v>
      </x:c>
      <x:c r="K64" s="200" t="n">
        <x:f>C64+D64+E64-F64-G64-H64+I64-J64</x:f>
        <x:v>3138000</x:v>
      </x:c>
      <x:c r="L64" s="201" t="str">
        <x:f>IF(K64&lt;0,"UNFUNDED","Funded")</x:f>
        <x:v>Funded</x:v>
      </x:c>
    </x:row>
    <x:row r="65" ht="28" customHeight="1">
      <x:c r="A65" s="128" t="str">
        <x:v>Stormlands</x:v>
      </x:c>
      <x:c r="B65" s="128" t="n">
        <x:v>1</x:v>
      </x:c>
      <x:c r="C65" s="187" t="n">
        <x:f>Inputs!E10</x:f>
        <x:v>200000</x:v>
      </x:c>
      <x:c r="D65" s="187" t="n">
        <x:f>((Income!B10*Income!$B$2+Income!C10*Income!$C$2)*Settings!B25+SUMPRODUCT(Income!D10:G10,Income!$D$2:$G$2)/12)*Inputs!P10+Income!N10/12</x:f>
        <x:v>20325</x:v>
      </x:c>
      <x:c r="E65" s="187" t="n">
        <x:f>Income!I10*Settings!C25</x:f>
        <x:v>0</x:v>
      </x:c>
      <x:c r="F65" s="187" t="n">
        <x:f>(Outlays!K10-Outlays!J10+Outlays!Q10)/12</x:f>
        <x:v>19833.333333333332</x:v>
      </x:c>
      <x:c r="G65" s="187" t="n">
        <x:f>Outlays!J10*Settings!C25</x:f>
        <x:v>0</x:v>
      </x:c>
      <x:c r="H65" s="187" t="n">
        <x:f>SUM(Outlays!L10:M10)*Settings!D25</x:f>
        <x:v>15000</x:v>
      </x:c>
      <x:c r="I65" s="187" t="n">
        <x:f>Debt!H10</x:f>
        <x:v>0</x:v>
      </x:c>
      <x:c r="J65" s="187" t="n">
        <x:f>0</x:f>
        <x:v>0</x:v>
      </x:c>
      <x:c r="K65" s="187" t="n">
        <x:f>C65+D65+E65-F65-G65-H65+I65-J65</x:f>
        <x:v>185491.66666666666</x:v>
      </x:c>
      <x:c r="L65" s="198" t="str">
        <x:f>IF(K65&lt;0,"UNFUNDED","Funded")</x:f>
        <x:v>Funded</x:v>
      </x:c>
    </x:row>
    <x:row r="66" ht="28" customHeight="1">
      <x:c r="A66" s="128" t="str">
        <x:v>Stormlands</x:v>
      </x:c>
      <x:c r="B66" s="128" t="n">
        <x:v>2</x:v>
      </x:c>
      <x:c r="C66" s="187" t="n">
        <x:f>K65</x:f>
        <x:v>185491.66666666666</x:v>
      </x:c>
      <x:c r="D66" s="187" t="n">
        <x:f>((Income!B10*Income!$B$2+Income!C10*Income!$C$2)*Settings!B26+SUMPRODUCT(Income!D10:G10,Income!$D$2:$G$2)/12)*Inputs!P10+Income!N10/12</x:f>
        <x:v>20325</x:v>
      </x:c>
      <x:c r="E66" s="187" t="n">
        <x:f>Income!I10*Settings!C26</x:f>
        <x:v>0</x:v>
      </x:c>
      <x:c r="F66" s="187" t="n">
        <x:f>(Outlays!K10-Outlays!J10+Outlays!Q10)/12</x:f>
        <x:v>19833.333333333332</x:v>
      </x:c>
      <x:c r="G66" s="187" t="n">
        <x:f>Outlays!J10*Settings!C26</x:f>
        <x:v>0</x:v>
      </x:c>
      <x:c r="H66" s="187" t="n">
        <x:f>SUM(Outlays!L10:M10)*Settings!D26</x:f>
        <x:v>15000</x:v>
      </x:c>
      <x:c r="I66" s="187" t="n">
        <x:f>0</x:f>
        <x:v>0</x:v>
      </x:c>
      <x:c r="J66" s="187" t="n">
        <x:f>0</x:f>
        <x:v>0</x:v>
      </x:c>
      <x:c r="K66" s="187" t="n">
        <x:f>C66+D66+E66-F66-G66-H66+I66-J66</x:f>
        <x:v>170983.3333333333</x:v>
      </x:c>
      <x:c r="L66" s="198" t="str">
        <x:f>IF(K66&lt;0,"UNFUNDED","Funded")</x:f>
        <x:v>Funded</x:v>
      </x:c>
    </x:row>
    <x:row r="67" ht="28" customHeight="1">
      <x:c r="A67" s="128" t="str">
        <x:v>Stormlands</x:v>
      </x:c>
      <x:c r="B67" s="128" t="n">
        <x:v>3</x:v>
      </x:c>
      <x:c r="C67" s="187" t="n">
        <x:f>K66</x:f>
        <x:v>170983.3333333333</x:v>
      </x:c>
      <x:c r="D67" s="187" t="n">
        <x:f>((Income!B10*Income!$B$2+Income!C10*Income!$C$2)*Settings!B27+SUMPRODUCT(Income!D10:G10,Income!$D$2:$G$2)/12)*Inputs!P10+Income!N10/12</x:f>
        <x:v>20325</x:v>
      </x:c>
      <x:c r="E67" s="187" t="n">
        <x:f>Income!I10*Settings!C27</x:f>
        <x:v>0</x:v>
      </x:c>
      <x:c r="F67" s="187" t="n">
        <x:f>(Outlays!K10-Outlays!J10+Outlays!Q10)/12</x:f>
        <x:v>19833.333333333332</x:v>
      </x:c>
      <x:c r="G67" s="187" t="n">
        <x:f>Outlays!J10*Settings!C27</x:f>
        <x:v>7500</x:v>
      </x:c>
      <x:c r="H67" s="187" t="n">
        <x:f>SUM(Outlays!L10:M10)*Settings!D27</x:f>
        <x:v>10000</x:v>
      </x:c>
      <x:c r="I67" s="187" t="n">
        <x:f>0</x:f>
        <x:v>0</x:v>
      </x:c>
      <x:c r="J67" s="187" t="n">
        <x:f>0</x:f>
        <x:v>0</x:v>
      </x:c>
      <x:c r="K67" s="187" t="n">
        <x:f>C67+D67+E67-F67-G67-H67+I67-J67</x:f>
        <x:v>153974.99999999997</x:v>
      </x:c>
      <x:c r="L67" s="198" t="str">
        <x:f>IF(K67&lt;0,"UNFUNDED","Funded")</x:f>
        <x:v>Funded</x:v>
      </x:c>
    </x:row>
    <x:row r="68" ht="28" customHeight="1">
      <x:c r="A68" s="128" t="str">
        <x:v>Stormlands</x:v>
      </x:c>
      <x:c r="B68" s="128" t="n">
        <x:v>4</x:v>
      </x:c>
      <x:c r="C68" s="187" t="n">
        <x:f>K67</x:f>
        <x:v>153974.99999999997</x:v>
      </x:c>
      <x:c r="D68" s="187" t="n">
        <x:f>((Income!B10*Income!$B$2+Income!C10*Income!$C$2)*Settings!B28+SUMPRODUCT(Income!D10:G10,Income!$D$2:$G$2)/12)*Inputs!P10+Income!N10/12</x:f>
        <x:v>20325</x:v>
      </x:c>
      <x:c r="E68" s="187" t="n">
        <x:f>Income!I10*Settings!C28</x:f>
        <x:v>0</x:v>
      </x:c>
      <x:c r="F68" s="187" t="n">
        <x:f>(Outlays!K10-Outlays!J10+Outlays!Q10)/12</x:f>
        <x:v>19833.333333333332</x:v>
      </x:c>
      <x:c r="G68" s="187" t="n">
        <x:f>Outlays!J10*Settings!C28</x:f>
        <x:v>0</x:v>
      </x:c>
      <x:c r="H68" s="187" t="n">
        <x:f>SUM(Outlays!L10:M10)*Settings!D28</x:f>
        <x:v>10000</x:v>
      </x:c>
      <x:c r="I68" s="187" t="n">
        <x:f>0</x:f>
        <x:v>0</x:v>
      </x:c>
      <x:c r="J68" s="187" t="n">
        <x:f>0</x:f>
        <x:v>0</x:v>
      </x:c>
      <x:c r="K68" s="187" t="n">
        <x:f>C68+D68+E68-F68-G68-H68+I68-J68</x:f>
        <x:v>144466.66666666663</x:v>
      </x:c>
      <x:c r="L68" s="198" t="str">
        <x:f>IF(K68&lt;0,"UNFUNDED","Funded")</x:f>
        <x:v>Funded</x:v>
      </x:c>
    </x:row>
    <x:row r="69" ht="28" customHeight="1">
      <x:c r="A69" s="128" t="str">
        <x:v>Stormlands</x:v>
      </x:c>
      <x:c r="B69" s="128" t="n">
        <x:v>5</x:v>
      </x:c>
      <x:c r="C69" s="187" t="n">
        <x:f>K68</x:f>
        <x:v>144466.66666666663</x:v>
      </x:c>
      <x:c r="D69" s="187" t="n">
        <x:f>((Income!B10*Income!$B$2+Income!C10*Income!$C$2)*Settings!B29+SUMPRODUCT(Income!D10:G10,Income!$D$2:$G$2)/12)*Inputs!P10+Income!N10/12</x:f>
        <x:v>20325</x:v>
      </x:c>
      <x:c r="E69" s="187" t="n">
        <x:f>Income!I10*Settings!C29</x:f>
        <x:v>0</x:v>
      </x:c>
      <x:c r="F69" s="187" t="n">
        <x:f>(Outlays!K10-Outlays!J10+Outlays!Q10)/12</x:f>
        <x:v>19833.333333333332</x:v>
      </x:c>
      <x:c r="G69" s="187" t="n">
        <x:f>Outlays!J10*Settings!C29</x:f>
        <x:v>0</x:v>
      </x:c>
      <x:c r="H69" s="187" t="n">
        <x:f>SUM(Outlays!L10:M10)*Settings!D29</x:f>
        <x:v>10000</x:v>
      </x:c>
      <x:c r="I69" s="187" t="n">
        <x:f>0</x:f>
        <x:v>0</x:v>
      </x:c>
      <x:c r="J69" s="187" t="n">
        <x:f>0</x:f>
        <x:v>0</x:v>
      </x:c>
      <x:c r="K69" s="187" t="n">
        <x:f>C69+D69+E69-F69-G69-H69+I69-J69</x:f>
        <x:v>134958.33333333328</x:v>
      </x:c>
      <x:c r="L69" s="198" t="str">
        <x:f>IF(K69&lt;0,"UNFUNDED","Funded")</x:f>
        <x:v>Funded</x:v>
      </x:c>
    </x:row>
    <x:row r="70" ht="28" customHeight="1">
      <x:c r="A70" s="128" t="str">
        <x:v>Stormlands</x:v>
      </x:c>
      <x:c r="B70" s="128" t="n">
        <x:v>6</x:v>
      </x:c>
      <x:c r="C70" s="187" t="n">
        <x:f>K69</x:f>
        <x:v>134958.33333333328</x:v>
      </x:c>
      <x:c r="D70" s="187" t="n">
        <x:f>((Income!B10*Income!$B$2+Income!C10*Income!$C$2)*Settings!B30+SUMPRODUCT(Income!D10:G10,Income!$D$2:$G$2)/12)*Inputs!P10+Income!N10/12</x:f>
        <x:v>31125</x:v>
      </x:c>
      <x:c r="E70" s="187" t="n">
        <x:f>Income!I10*Settings!C30</x:f>
        <x:v>0</x:v>
      </x:c>
      <x:c r="F70" s="187" t="n">
        <x:f>(Outlays!K10-Outlays!J10+Outlays!Q10)/12</x:f>
        <x:v>19833.333333333332</x:v>
      </x:c>
      <x:c r="G70" s="187" t="n">
        <x:f>Outlays!J10*Settings!C30</x:f>
        <x:v>7500</x:v>
      </x:c>
      <x:c r="H70" s="187" t="n">
        <x:f>SUM(Outlays!L10:M10)*Settings!D30</x:f>
        <x:v>10000</x:v>
      </x:c>
      <x:c r="I70" s="187" t="n">
        <x:f>0</x:f>
        <x:v>0</x:v>
      </x:c>
      <x:c r="J70" s="187" t="n">
        <x:f>0</x:f>
        <x:v>0</x:v>
      </x:c>
      <x:c r="K70" s="187" t="n">
        <x:f>C70+D70+E70-F70-G70-H70+I70-J70</x:f>
        <x:v>128749.99999999994</x:v>
      </x:c>
      <x:c r="L70" s="198" t="str">
        <x:f>IF(K70&lt;0,"UNFUNDED","Funded")</x:f>
        <x:v>Funded</x:v>
      </x:c>
    </x:row>
    <x:row r="71" ht="28" customHeight="1">
      <x:c r="A71" s="128" t="str">
        <x:v>Stormlands</x:v>
      </x:c>
      <x:c r="B71" s="128" t="n">
        <x:v>7</x:v>
      </x:c>
      <x:c r="C71" s="187" t="n">
        <x:f>K70</x:f>
        <x:v>128749.99999999994</x:v>
      </x:c>
      <x:c r="D71" s="187" t="n">
        <x:f>((Income!B10*Income!$B$2+Income!C10*Income!$C$2)*Settings!B31+SUMPRODUCT(Income!D10:G10,Income!$D$2:$G$2)/12)*Inputs!P10+Income!N10/12</x:f>
        <x:v>20325</x:v>
      </x:c>
      <x:c r="E71" s="187" t="n">
        <x:f>Income!I10*Settings!C31</x:f>
        <x:v>0</x:v>
      </x:c>
      <x:c r="F71" s="187" t="n">
        <x:f>(Outlays!K10-Outlays!J10+Outlays!Q10)/12</x:f>
        <x:v>19833.333333333332</x:v>
      </x:c>
      <x:c r="G71" s="187" t="n">
        <x:f>Outlays!J10*Settings!C31</x:f>
        <x:v>0</x:v>
      </x:c>
      <x:c r="H71" s="187" t="n">
        <x:f>SUM(Outlays!L10:M10)*Settings!D31</x:f>
        <x:v>5000</x:v>
      </x:c>
      <x:c r="I71" s="187" t="n">
        <x:f>0</x:f>
        <x:v>0</x:v>
      </x:c>
      <x:c r="J71" s="187" t="n">
        <x:f>0</x:f>
        <x:v>0</x:v>
      </x:c>
      <x:c r="K71" s="187" t="n">
        <x:f>C71+D71+E71-F71-G71-H71+I71-J71</x:f>
        <x:v>124241.66666666661</x:v>
      </x:c>
      <x:c r="L71" s="198" t="str">
        <x:f>IF(K71&lt;0,"UNFUNDED","Funded")</x:f>
        <x:v>Funded</x:v>
      </x:c>
    </x:row>
    <x:row r="72" ht="28" customHeight="1">
      <x:c r="A72" s="128" t="str">
        <x:v>Stormlands</x:v>
      </x:c>
      <x:c r="B72" s="128" t="n">
        <x:v>8</x:v>
      </x:c>
      <x:c r="C72" s="187" t="n">
        <x:f>K71</x:f>
        <x:v>124241.66666666661</x:v>
      </x:c>
      <x:c r="D72" s="187" t="n">
        <x:f>((Income!B10*Income!$B$2+Income!C10*Income!$C$2)*Settings!B32+SUMPRODUCT(Income!D10:G10,Income!$D$2:$G$2)/12)*Inputs!P10+Income!N10/12</x:f>
        <x:v>20325</x:v>
      </x:c>
      <x:c r="E72" s="187" t="n">
        <x:f>Income!I10*Settings!C32</x:f>
        <x:v>0</x:v>
      </x:c>
      <x:c r="F72" s="187" t="n">
        <x:f>(Outlays!K10-Outlays!J10+Outlays!Q10)/12</x:f>
        <x:v>19833.333333333332</x:v>
      </x:c>
      <x:c r="G72" s="187" t="n">
        <x:f>Outlays!J10*Settings!C32</x:f>
        <x:v>0</x:v>
      </x:c>
      <x:c r="H72" s="187" t="n">
        <x:f>SUM(Outlays!L10:M10)*Settings!D32</x:f>
        <x:v>5000</x:v>
      </x:c>
      <x:c r="I72" s="187" t="n">
        <x:f>0</x:f>
        <x:v>0</x:v>
      </x:c>
      <x:c r="J72" s="187" t="n">
        <x:f>0</x:f>
        <x:v>0</x:v>
      </x:c>
      <x:c r="K72" s="187" t="n">
        <x:f>C72+D72+E72-F72-G72-H72+I72-J72</x:f>
        <x:v>119733.3333333333</x:v>
      </x:c>
      <x:c r="L72" s="198" t="str">
        <x:f>IF(K72&lt;0,"UNFUNDED","Funded")</x:f>
        <x:v>Funded</x:v>
      </x:c>
    </x:row>
    <x:row r="73" ht="28" customHeight="1">
      <x:c r="A73" s="128" t="str">
        <x:v>Stormlands</x:v>
      </x:c>
      <x:c r="B73" s="128" t="n">
        <x:v>9</x:v>
      </x:c>
      <x:c r="C73" s="187" t="n">
        <x:f>K72</x:f>
        <x:v>119733.3333333333</x:v>
      </x:c>
      <x:c r="D73" s="187" t="n">
        <x:f>((Income!B10*Income!$B$2+Income!C10*Income!$C$2)*Settings!B33+SUMPRODUCT(Income!D10:G10,Income!$D$2:$G$2)/12)*Inputs!P10+Income!N10/12</x:f>
        <x:v>76125</x:v>
      </x:c>
      <x:c r="E73" s="187" t="n">
        <x:f>Income!I10*Settings!C33</x:f>
        <x:v>0</x:v>
      </x:c>
      <x:c r="F73" s="187" t="n">
        <x:f>(Outlays!K10-Outlays!J10+Outlays!Q10)/12</x:f>
        <x:v>19833.333333333332</x:v>
      </x:c>
      <x:c r="G73" s="187" t="n">
        <x:f>Outlays!J10*Settings!C33</x:f>
        <x:v>7500</x:v>
      </x:c>
      <x:c r="H73" s="187" t="n">
        <x:f>SUM(Outlays!L10:M10)*Settings!D33</x:f>
        <x:v>5000</x:v>
      </x:c>
      <x:c r="I73" s="187" t="n">
        <x:f>0</x:f>
        <x:v>0</x:v>
      </x:c>
      <x:c r="J73" s="187" t="n">
        <x:f>0</x:f>
        <x:v>0</x:v>
      </x:c>
      <x:c r="K73" s="187" t="n">
        <x:f>C73+D73+E73-F73-G73-H73+I73-J73</x:f>
        <x:v>163524.99999999997</x:v>
      </x:c>
      <x:c r="L73" s="198" t="str">
        <x:f>IF(K73&lt;0,"UNFUNDED","Funded")</x:f>
        <x:v>Funded</x:v>
      </x:c>
    </x:row>
    <x:row r="74" ht="28" customHeight="1">
      <x:c r="A74" s="128" t="str">
        <x:v>Stormlands</x:v>
      </x:c>
      <x:c r="B74" s="128" t="n">
        <x:v>10</x:v>
      </x:c>
      <x:c r="C74" s="187" t="n">
        <x:f>K73</x:f>
        <x:v>163524.99999999997</x:v>
      </x:c>
      <x:c r="D74" s="187" t="n">
        <x:f>((Income!B10*Income!$B$2+Income!C10*Income!$C$2)*Settings!B34+SUMPRODUCT(Income!D10:G10,Income!$D$2:$G$2)/12)*Inputs!P10+Income!N10/12</x:f>
        <x:v>40125</x:v>
      </x:c>
      <x:c r="E74" s="187" t="n">
        <x:f>Income!I10*Settings!C34</x:f>
        <x:v>0</x:v>
      </x:c>
      <x:c r="F74" s="187" t="n">
        <x:f>(Outlays!K10-Outlays!J10+Outlays!Q10)/12</x:f>
        <x:v>19833.333333333332</x:v>
      </x:c>
      <x:c r="G74" s="187" t="n">
        <x:f>Outlays!J10*Settings!C34</x:f>
        <x:v>0</x:v>
      </x:c>
      <x:c r="H74" s="187" t="n">
        <x:f>SUM(Outlays!L10:M10)*Settings!D34</x:f>
        <x:v>5000</x:v>
      </x:c>
      <x:c r="I74" s="187" t="n">
        <x:f>0</x:f>
        <x:v>0</x:v>
      </x:c>
      <x:c r="J74" s="187" t="n">
        <x:f>0</x:f>
        <x:v>0</x:v>
      </x:c>
      <x:c r="K74" s="187" t="n">
        <x:f>C74+D74+E74-F74-G74-H74+I74-J74</x:f>
        <x:v>178816.66666666663</x:v>
      </x:c>
      <x:c r="L74" s="198" t="str">
        <x:f>IF(K74&lt;0,"UNFUNDED","Funded")</x:f>
        <x:v>Funded</x:v>
      </x:c>
    </x:row>
    <x:row r="75" ht="28" customHeight="1">
      <x:c r="A75" s="128" t="str">
        <x:v>Stormlands</x:v>
      </x:c>
      <x:c r="B75" s="128" t="n">
        <x:v>11</x:v>
      </x:c>
      <x:c r="C75" s="187" t="n">
        <x:f>K74</x:f>
        <x:v>178816.66666666663</x:v>
      </x:c>
      <x:c r="D75" s="187" t="n">
        <x:f>((Income!B10*Income!$B$2+Income!C10*Income!$C$2)*Settings!B35+SUMPRODUCT(Income!D10:G10,Income!$D$2:$G$2)/12)*Inputs!P10+Income!N10/12</x:f>
        <x:v>20325</x:v>
      </x:c>
      <x:c r="E75" s="187" t="n">
        <x:f>Income!I10*Settings!C35</x:f>
        <x:v>0</x:v>
      </x:c>
      <x:c r="F75" s="187" t="n">
        <x:f>(Outlays!K10-Outlays!J10+Outlays!Q10)/12</x:f>
        <x:v>19833.333333333332</x:v>
      </x:c>
      <x:c r="G75" s="187" t="n">
        <x:f>Outlays!J10*Settings!C35</x:f>
        <x:v>0</x:v>
      </x:c>
      <x:c r="H75" s="187" t="n">
        <x:f>SUM(Outlays!L10:M10)*Settings!D35</x:f>
        <x:v>5000</x:v>
      </x:c>
      <x:c r="I75" s="187" t="n">
        <x:f>0</x:f>
        <x:v>0</x:v>
      </x:c>
      <x:c r="J75" s="187" t="n">
        <x:f>0</x:f>
        <x:v>0</x:v>
      </x:c>
      <x:c r="K75" s="187" t="n">
        <x:f>C75+D75+E75-F75-G75-H75+I75-J75</x:f>
        <x:v>174308.33333333328</x:v>
      </x:c>
      <x:c r="L75" s="198" t="str">
        <x:f>IF(K75&lt;0,"UNFUNDED","Funded")</x:f>
        <x:v>Funded</x:v>
      </x:c>
    </x:row>
    <x:row r="76" ht="28" customHeight="1">
      <x:c r="A76" s="199" t="str">
        <x:v>Stormlands</x:v>
      </x:c>
      <x:c r="B76" s="199" t="n">
        <x:v>12</x:v>
      </x:c>
      <x:c r="C76" s="200" t="n">
        <x:f>K75</x:f>
        <x:v>174308.33333333328</x:v>
      </x:c>
      <x:c r="D76" s="200" t="n">
        <x:f>((Income!B10*Income!$B$2+Income!C10*Income!$C$2)*Settings!B36+SUMPRODUCT(Income!D10:G10,Income!$D$2:$G$2)/12)*Inputs!P10+Income!N10/12</x:f>
        <x:v>27525</x:v>
      </x:c>
      <x:c r="E76" s="200" t="n">
        <x:f>Income!I10*Settings!C36</x:f>
        <x:v>0</x:v>
      </x:c>
      <x:c r="F76" s="200" t="n">
        <x:f>(Outlays!K10-Outlays!J10+Outlays!Q10)/12</x:f>
        <x:v>19833.333333333332</x:v>
      </x:c>
      <x:c r="G76" s="200" t="n">
        <x:f>Outlays!J10*Settings!C36</x:f>
        <x:v>7500</x:v>
      </x:c>
      <x:c r="H76" s="200" t="n">
        <x:f>SUM(Outlays!L10:M10)*Settings!D36</x:f>
        <x:v>5000</x:v>
      </x:c>
      <x:c r="I76" s="200" t="n">
        <x:f>0</x:f>
        <x:v>0</x:v>
      </x:c>
      <x:c r="J76" s="200" t="n">
        <x:f>Debt!G10</x:f>
        <x:v>15000</x:v>
      </x:c>
      <x:c r="K76" s="200" t="n">
        <x:f>C76+D76+E76-F76-G76-H76+I76-J76</x:f>
        <x:v>154499.99999999994</x:v>
      </x:c>
      <x:c r="L76" s="201" t="str">
        <x:f>IF(K76&lt;0,"UNFUNDED","Funded")</x:f>
        <x:v>Funded</x:v>
      </x:c>
    </x:row>
    <x:row r="77" ht="28" customHeight="1">
      <x:c r="A77" s="128" t="str">
        <x:v>Dorne</x:v>
      </x:c>
      <x:c r="B77" s="128" t="n">
        <x:v>1</x:v>
      </x:c>
      <x:c r="C77" s="187" t="n">
        <x:f>Inputs!E11</x:f>
        <x:v>700000</x:v>
      </x:c>
      <x:c r="D77" s="187" t="n">
        <x:f>((Income!B11*Income!$B$2+Income!C11*Income!$C$2)*Settings!B25+SUMPRODUCT(Income!D11:G11,Income!$D$2:$G$2)/12)*Inputs!P11+Income!N11/12</x:f>
        <x:v>39278.57142857143</x:v>
      </x:c>
      <x:c r="E77" s="187" t="n">
        <x:f>Income!I11*Settings!C25</x:f>
        <x:v>0</x:v>
      </x:c>
      <x:c r="F77" s="187" t="n">
        <x:f>(Outlays!K11-Outlays!J11+Outlays!Q11)/12</x:f>
        <x:v>41333.333333333336</x:v>
      </x:c>
      <x:c r="G77" s="187" t="n">
        <x:f>Outlays!J11*Settings!C25</x:f>
        <x:v>0</x:v>
      </x:c>
      <x:c r="H77" s="187" t="n">
        <x:f>SUM(Outlays!L11:M11)*Settings!D25</x:f>
        <x:v>9000</x:v>
      </x:c>
      <x:c r="I77" s="187" t="n">
        <x:f>Debt!H11</x:f>
        <x:v>0</x:v>
      </x:c>
      <x:c r="J77" s="187" t="n">
        <x:f>0</x:f>
        <x:v>0</x:v>
      </x:c>
      <x:c r="K77" s="187" t="n">
        <x:f>C77+D77+E77-F77-G77-H77+I77-J77</x:f>
        <x:v>688945.2380952381</x:v>
      </x:c>
      <x:c r="L77" s="198" t="str">
        <x:f>IF(K77&lt;0,"UNFUNDED","Funded")</x:f>
        <x:v>Funded</x:v>
      </x:c>
    </x:row>
    <x:row r="78" ht="28" customHeight="1">
      <x:c r="A78" s="128" t="str">
        <x:v>Dorne</x:v>
      </x:c>
      <x:c r="B78" s="128" t="n">
        <x:v>2</x:v>
      </x:c>
      <x:c r="C78" s="187" t="n">
        <x:f>K77</x:f>
        <x:v>688945.2380952381</x:v>
      </x:c>
      <x:c r="D78" s="187" t="n">
        <x:f>((Income!B11*Income!$B$2+Income!C11*Income!$C$2)*Settings!B26+SUMPRODUCT(Income!D11:G11,Income!$D$2:$G$2)/12)*Inputs!P11+Income!N11/12</x:f>
        <x:v>39278.57142857143</x:v>
      </x:c>
      <x:c r="E78" s="187" t="n">
        <x:f>Income!I11*Settings!C26</x:f>
        <x:v>0</x:v>
      </x:c>
      <x:c r="F78" s="187" t="n">
        <x:f>(Outlays!K11-Outlays!J11+Outlays!Q11)/12</x:f>
        <x:v>41333.333333333336</x:v>
      </x:c>
      <x:c r="G78" s="187" t="n">
        <x:f>Outlays!J11*Settings!C26</x:f>
        <x:v>0</x:v>
      </x:c>
      <x:c r="H78" s="187" t="n">
        <x:f>SUM(Outlays!L11:M11)*Settings!D26</x:f>
        <x:v>9000</x:v>
      </x:c>
      <x:c r="I78" s="187" t="n">
        <x:f>0</x:f>
        <x:v>0</x:v>
      </x:c>
      <x:c r="J78" s="187" t="n">
        <x:f>0</x:f>
        <x:v>0</x:v>
      </x:c>
      <x:c r="K78" s="187" t="n">
        <x:f>C78+D78+E78-F78-G78-H78+I78-J78</x:f>
        <x:v>677890.4761904762</x:v>
      </x:c>
      <x:c r="L78" s="198" t="str">
        <x:f>IF(K78&lt;0,"UNFUNDED","Funded")</x:f>
        <x:v>Funded</x:v>
      </x:c>
    </x:row>
    <x:row r="79" ht="28" customHeight="1">
      <x:c r="A79" s="128" t="str">
        <x:v>Dorne</x:v>
      </x:c>
      <x:c r="B79" s="128" t="n">
        <x:v>3</x:v>
      </x:c>
      <x:c r="C79" s="187" t="n">
        <x:f>K78</x:f>
        <x:v>677890.4761904762</x:v>
      </x:c>
      <x:c r="D79" s="187" t="n">
        <x:f>((Income!B11*Income!$B$2+Income!C11*Income!$C$2)*Settings!B27+SUMPRODUCT(Income!D11:G11,Income!$D$2:$G$2)/12)*Inputs!P11+Income!N11/12</x:f>
        <x:v>39278.57142857143</x:v>
      </x:c>
      <x:c r="E79" s="187" t="n">
        <x:f>Income!I11*Settings!C27</x:f>
        <x:v>0</x:v>
      </x:c>
      <x:c r="F79" s="187" t="n">
        <x:f>(Outlays!K11-Outlays!J11+Outlays!Q11)/12</x:f>
        <x:v>41333.333333333336</x:v>
      </x:c>
      <x:c r="G79" s="187" t="n">
        <x:f>Outlays!J11*Settings!C27</x:f>
        <x:v>11250</x:v>
      </x:c>
      <x:c r="H79" s="187" t="n">
        <x:f>SUM(Outlays!L11:M11)*Settings!D27</x:f>
        <x:v>6000</x:v>
      </x:c>
      <x:c r="I79" s="187" t="n">
        <x:f>0</x:f>
        <x:v>0</x:v>
      </x:c>
      <x:c r="J79" s="187" t="n">
        <x:f>0</x:f>
        <x:v>0</x:v>
      </x:c>
      <x:c r="K79" s="187" t="n">
        <x:f>C79+D79+E79-F79-G79-H79+I79-J79</x:f>
        <x:v>658585.7142857143</x:v>
      </x:c>
      <x:c r="L79" s="198" t="str">
        <x:f>IF(K79&lt;0,"UNFUNDED","Funded")</x:f>
        <x:v>Funded</x:v>
      </x:c>
    </x:row>
    <x:row r="80" ht="28" customHeight="1">
      <x:c r="A80" s="128" t="str">
        <x:v>Dorne</x:v>
      </x:c>
      <x:c r="B80" s="128" t="n">
        <x:v>4</x:v>
      </x:c>
      <x:c r="C80" s="187" t="n">
        <x:f>K79</x:f>
        <x:v>658585.7142857143</x:v>
      </x:c>
      <x:c r="D80" s="187" t="n">
        <x:f>((Income!B11*Income!$B$2+Income!C11*Income!$C$2)*Settings!B28+SUMPRODUCT(Income!D11:G11,Income!$D$2:$G$2)/12)*Inputs!P11+Income!N11/12</x:f>
        <x:v>39278.57142857143</x:v>
      </x:c>
      <x:c r="E80" s="187" t="n">
        <x:f>Income!I11*Settings!C28</x:f>
        <x:v>0</x:v>
      </x:c>
      <x:c r="F80" s="187" t="n">
        <x:f>(Outlays!K11-Outlays!J11+Outlays!Q11)/12</x:f>
        <x:v>41333.333333333336</x:v>
      </x:c>
      <x:c r="G80" s="187" t="n">
        <x:f>Outlays!J11*Settings!C28</x:f>
        <x:v>0</x:v>
      </x:c>
      <x:c r="H80" s="187" t="n">
        <x:f>SUM(Outlays!L11:M11)*Settings!D28</x:f>
        <x:v>6000</x:v>
      </x:c>
      <x:c r="I80" s="187" t="n">
        <x:f>0</x:f>
        <x:v>0</x:v>
      </x:c>
      <x:c r="J80" s="187" t="n">
        <x:f>0</x:f>
        <x:v>0</x:v>
      </x:c>
      <x:c r="K80" s="187" t="n">
        <x:f>C80+D80+E80-F80-G80-H80+I80-J80</x:f>
        <x:v>650530.9523809524</x:v>
      </x:c>
      <x:c r="L80" s="198" t="str">
        <x:f>IF(K80&lt;0,"UNFUNDED","Funded")</x:f>
        <x:v>Funded</x:v>
      </x:c>
    </x:row>
    <x:row r="81" ht="28" customHeight="1">
      <x:c r="A81" s="128" t="str">
        <x:v>Dorne</x:v>
      </x:c>
      <x:c r="B81" s="128" t="n">
        <x:v>5</x:v>
      </x:c>
      <x:c r="C81" s="187" t="n">
        <x:f>K80</x:f>
        <x:v>650530.9523809524</x:v>
      </x:c>
      <x:c r="D81" s="187" t="n">
        <x:f>((Income!B11*Income!$B$2+Income!C11*Income!$C$2)*Settings!B29+SUMPRODUCT(Income!D11:G11,Income!$D$2:$G$2)/12)*Inputs!P11+Income!N11/12</x:f>
        <x:v>39278.57142857143</x:v>
      </x:c>
      <x:c r="E81" s="187" t="n">
        <x:f>Income!I11*Settings!C29</x:f>
        <x:v>0</x:v>
      </x:c>
      <x:c r="F81" s="187" t="n">
        <x:f>(Outlays!K11-Outlays!J11+Outlays!Q11)/12</x:f>
        <x:v>41333.333333333336</x:v>
      </x:c>
      <x:c r="G81" s="187" t="n">
        <x:f>Outlays!J11*Settings!C29</x:f>
        <x:v>0</x:v>
      </x:c>
      <x:c r="H81" s="187" t="n">
        <x:f>SUM(Outlays!L11:M11)*Settings!D29</x:f>
        <x:v>6000</x:v>
      </x:c>
      <x:c r="I81" s="187" t="n">
        <x:f>0</x:f>
        <x:v>0</x:v>
      </x:c>
      <x:c r="J81" s="187" t="n">
        <x:f>0</x:f>
        <x:v>0</x:v>
      </x:c>
      <x:c r="K81" s="187" t="n">
        <x:f>C81+D81+E81-F81-G81-H81+I81-J81</x:f>
        <x:v>642476.1904761905</x:v>
      </x:c>
      <x:c r="L81" s="198" t="str">
        <x:f>IF(K81&lt;0,"UNFUNDED","Funded")</x:f>
        <x:v>Funded</x:v>
      </x:c>
    </x:row>
    <x:row r="82" ht="28" customHeight="1">
      <x:c r="A82" s="128" t="str">
        <x:v>Dorne</x:v>
      </x:c>
      <x:c r="B82" s="128" t="n">
        <x:v>6</x:v>
      </x:c>
      <x:c r="C82" s="187" t="n">
        <x:f>K81</x:f>
        <x:v>642476.1904761905</x:v>
      </x:c>
      <x:c r="D82" s="187" t="n">
        <x:f>((Income!B11*Income!$B$2+Income!C11*Income!$C$2)*Settings!B30+SUMPRODUCT(Income!D11:G11,Income!$D$2:$G$2)/12)*Inputs!P11+Income!N11/12</x:f>
        <x:v>59892.857142857145</x:v>
      </x:c>
      <x:c r="E82" s="187" t="n">
        <x:f>Income!I11*Settings!C30</x:f>
        <x:v>0</x:v>
      </x:c>
      <x:c r="F82" s="187" t="n">
        <x:f>(Outlays!K11-Outlays!J11+Outlays!Q11)/12</x:f>
        <x:v>41333.333333333336</x:v>
      </x:c>
      <x:c r="G82" s="187" t="n">
        <x:f>Outlays!J11*Settings!C30</x:f>
        <x:v>11250</x:v>
      </x:c>
      <x:c r="H82" s="187" t="n">
        <x:f>SUM(Outlays!L11:M11)*Settings!D30</x:f>
        <x:v>6000</x:v>
      </x:c>
      <x:c r="I82" s="187" t="n">
        <x:f>0</x:f>
        <x:v>0</x:v>
      </x:c>
      <x:c r="J82" s="187" t="n">
        <x:f>0</x:f>
        <x:v>0</x:v>
      </x:c>
      <x:c r="K82" s="187" t="n">
        <x:f>C82+D82+E82-F82-G82-H82+I82-J82</x:f>
        <x:v>643785.7142857143</x:v>
      </x:c>
      <x:c r="L82" s="198" t="str">
        <x:f>IF(K82&lt;0,"UNFUNDED","Funded")</x:f>
        <x:v>Funded</x:v>
      </x:c>
    </x:row>
    <x:row r="83" ht="28" customHeight="1">
      <x:c r="A83" s="128" t="str">
        <x:v>Dorne</x:v>
      </x:c>
      <x:c r="B83" s="128" t="n">
        <x:v>7</x:v>
      </x:c>
      <x:c r="C83" s="187" t="n">
        <x:f>K82</x:f>
        <x:v>643785.7142857143</x:v>
      </x:c>
      <x:c r="D83" s="187" t="n">
        <x:f>((Income!B11*Income!$B$2+Income!C11*Income!$C$2)*Settings!B31+SUMPRODUCT(Income!D11:G11,Income!$D$2:$G$2)/12)*Inputs!P11+Income!N11/12</x:f>
        <x:v>39278.57142857143</x:v>
      </x:c>
      <x:c r="E83" s="187" t="n">
        <x:f>Income!I11*Settings!C31</x:f>
        <x:v>0</x:v>
      </x:c>
      <x:c r="F83" s="187" t="n">
        <x:f>(Outlays!K11-Outlays!J11+Outlays!Q11)/12</x:f>
        <x:v>41333.333333333336</x:v>
      </x:c>
      <x:c r="G83" s="187" t="n">
        <x:f>Outlays!J11*Settings!C31</x:f>
        <x:v>0</x:v>
      </x:c>
      <x:c r="H83" s="187" t="n">
        <x:f>SUM(Outlays!L11:M11)*Settings!D31</x:f>
        <x:v>3000</x:v>
      </x:c>
      <x:c r="I83" s="187" t="n">
        <x:f>0</x:f>
        <x:v>0</x:v>
      </x:c>
      <x:c r="J83" s="187" t="n">
        <x:f>0</x:f>
        <x:v>0</x:v>
      </x:c>
      <x:c r="K83" s="187" t="n">
        <x:f>C83+D83+E83-F83-G83-H83+I83-J83</x:f>
        <x:v>638730.9523809524</x:v>
      </x:c>
      <x:c r="L83" s="198" t="str">
        <x:f>IF(K83&lt;0,"UNFUNDED","Funded")</x:f>
        <x:v>Funded</x:v>
      </x:c>
    </x:row>
    <x:row r="84" ht="28" customHeight="1">
      <x:c r="A84" s="128" t="str">
        <x:v>Dorne</x:v>
      </x:c>
      <x:c r="B84" s="128" t="n">
        <x:v>8</x:v>
      </x:c>
      <x:c r="C84" s="187" t="n">
        <x:f>K83</x:f>
        <x:v>638730.9523809524</x:v>
      </x:c>
      <x:c r="D84" s="187" t="n">
        <x:f>((Income!B11*Income!$B$2+Income!C11*Income!$C$2)*Settings!B32+SUMPRODUCT(Income!D11:G11,Income!$D$2:$G$2)/12)*Inputs!P11+Income!N11/12</x:f>
        <x:v>39278.57142857143</x:v>
      </x:c>
      <x:c r="E84" s="187" t="n">
        <x:f>Income!I11*Settings!C32</x:f>
        <x:v>0</x:v>
      </x:c>
      <x:c r="F84" s="187" t="n">
        <x:f>(Outlays!K11-Outlays!J11+Outlays!Q11)/12</x:f>
        <x:v>41333.333333333336</x:v>
      </x:c>
      <x:c r="G84" s="187" t="n">
        <x:f>Outlays!J11*Settings!C32</x:f>
        <x:v>0</x:v>
      </x:c>
      <x:c r="H84" s="187" t="n">
        <x:f>SUM(Outlays!L11:M11)*Settings!D32</x:f>
        <x:v>3000</x:v>
      </x:c>
      <x:c r="I84" s="187" t="n">
        <x:f>0</x:f>
        <x:v>0</x:v>
      </x:c>
      <x:c r="J84" s="187" t="n">
        <x:f>0</x:f>
        <x:v>0</x:v>
      </x:c>
      <x:c r="K84" s="187" t="n">
        <x:f>C84+D84+E84-F84-G84-H84+I84-J84</x:f>
        <x:v>633676.1904761905</x:v>
      </x:c>
      <x:c r="L84" s="198" t="str">
        <x:f>IF(K84&lt;0,"UNFUNDED","Funded")</x:f>
        <x:v>Funded</x:v>
      </x:c>
    </x:row>
    <x:row r="85" ht="28" customHeight="1">
      <x:c r="A85" s="128" t="str">
        <x:v>Dorne</x:v>
      </x:c>
      <x:c r="B85" s="128" t="n">
        <x:v>9</x:v>
      </x:c>
      <x:c r="C85" s="187" t="n">
        <x:f>K84</x:f>
        <x:v>633676.1904761905</x:v>
      </x:c>
      <x:c r="D85" s="187" t="n">
        <x:f>((Income!B11*Income!$B$2+Income!C11*Income!$C$2)*Settings!B33+SUMPRODUCT(Income!D11:G11,Income!$D$2:$G$2)/12)*Inputs!P11+Income!N11/12</x:f>
        <x:v>145785.7142857143</x:v>
      </x:c>
      <x:c r="E85" s="187" t="n">
        <x:f>Income!I11*Settings!C33</x:f>
        <x:v>0</x:v>
      </x:c>
      <x:c r="F85" s="187" t="n">
        <x:f>(Outlays!K11-Outlays!J11+Outlays!Q11)/12</x:f>
        <x:v>41333.333333333336</x:v>
      </x:c>
      <x:c r="G85" s="187" t="n">
        <x:f>Outlays!J11*Settings!C33</x:f>
        <x:v>11250</x:v>
      </x:c>
      <x:c r="H85" s="187" t="n">
        <x:f>SUM(Outlays!L11:M11)*Settings!D33</x:f>
        <x:v>3000</x:v>
      </x:c>
      <x:c r="I85" s="187" t="n">
        <x:f>0</x:f>
        <x:v>0</x:v>
      </x:c>
      <x:c r="J85" s="187" t="n">
        <x:f>0</x:f>
        <x:v>0</x:v>
      </x:c>
      <x:c r="K85" s="187" t="n">
        <x:f>C85+D85+E85-F85-G85-H85+I85-J85</x:f>
        <x:v>723878.5714285715</x:v>
      </x:c>
      <x:c r="L85" s="198" t="str">
        <x:f>IF(K85&lt;0,"UNFUNDED","Funded")</x:f>
        <x:v>Funded</x:v>
      </x:c>
    </x:row>
    <x:row r="86" ht="28" customHeight="1">
      <x:c r="A86" s="128" t="str">
        <x:v>Dorne</x:v>
      </x:c>
      <x:c r="B86" s="128" t="n">
        <x:v>10</x:v>
      </x:c>
      <x:c r="C86" s="187" t="n">
        <x:f>K85</x:f>
        <x:v>723878.5714285715</x:v>
      </x:c>
      <x:c r="D86" s="187" t="n">
        <x:f>((Income!B11*Income!$B$2+Income!C11*Income!$C$2)*Settings!B34+SUMPRODUCT(Income!D11:G11,Income!$D$2:$G$2)/12)*Inputs!P11+Income!N11/12</x:f>
        <x:v>77071.42857142857</x:v>
      </x:c>
      <x:c r="E86" s="187" t="n">
        <x:f>Income!I11*Settings!C34</x:f>
        <x:v>0</x:v>
      </x:c>
      <x:c r="F86" s="187" t="n">
        <x:f>(Outlays!K11-Outlays!J11+Outlays!Q11)/12</x:f>
        <x:v>41333.333333333336</x:v>
      </x:c>
      <x:c r="G86" s="187" t="n">
        <x:f>Outlays!J11*Settings!C34</x:f>
        <x:v>0</x:v>
      </x:c>
      <x:c r="H86" s="187" t="n">
        <x:f>SUM(Outlays!L11:M11)*Settings!D34</x:f>
        <x:v>3000</x:v>
      </x:c>
      <x:c r="I86" s="187" t="n">
        <x:f>0</x:f>
        <x:v>0</x:v>
      </x:c>
      <x:c r="J86" s="187" t="n">
        <x:f>0</x:f>
        <x:v>0</x:v>
      </x:c>
      <x:c r="K86" s="187" t="n">
        <x:f>C86+D86+E86-F86-G86-H86+I86-J86</x:f>
        <x:v>756616.6666666666</x:v>
      </x:c>
      <x:c r="L86" s="198" t="str">
        <x:f>IF(K86&lt;0,"UNFUNDED","Funded")</x:f>
        <x:v>Funded</x:v>
      </x:c>
    </x:row>
    <x:row r="87" ht="28" customHeight="1">
      <x:c r="A87" s="128" t="str">
        <x:v>Dorne</x:v>
      </x:c>
      <x:c r="B87" s="128" t="n">
        <x:v>11</x:v>
      </x:c>
      <x:c r="C87" s="187" t="n">
        <x:f>K86</x:f>
        <x:v>756616.6666666666</x:v>
      </x:c>
      <x:c r="D87" s="187" t="n">
        <x:f>((Income!B11*Income!$B$2+Income!C11*Income!$C$2)*Settings!B35+SUMPRODUCT(Income!D11:G11,Income!$D$2:$G$2)/12)*Inputs!P11+Income!N11/12</x:f>
        <x:v>39278.57142857143</x:v>
      </x:c>
      <x:c r="E87" s="187" t="n">
        <x:f>Income!I11*Settings!C35</x:f>
        <x:v>0</x:v>
      </x:c>
      <x:c r="F87" s="187" t="n">
        <x:f>(Outlays!K11-Outlays!J11+Outlays!Q11)/12</x:f>
        <x:v>41333.333333333336</x:v>
      </x:c>
      <x:c r="G87" s="187" t="n">
        <x:f>Outlays!J11*Settings!C35</x:f>
        <x:v>0</x:v>
      </x:c>
      <x:c r="H87" s="187" t="n">
        <x:f>SUM(Outlays!L11:M11)*Settings!D35</x:f>
        <x:v>3000</x:v>
      </x:c>
      <x:c r="I87" s="187" t="n">
        <x:f>0</x:f>
        <x:v>0</x:v>
      </x:c>
      <x:c r="J87" s="187" t="n">
        <x:f>0</x:f>
        <x:v>0</x:v>
      </x:c>
      <x:c r="K87" s="187" t="n">
        <x:f>C87+D87+E87-F87-G87-H87+I87-J87</x:f>
        <x:v>751561.9047619047</x:v>
      </x:c>
      <x:c r="L87" s="198" t="str">
        <x:f>IF(K87&lt;0,"UNFUNDED","Funded")</x:f>
        <x:v>Funded</x:v>
      </x:c>
    </x:row>
    <x:row r="88" ht="28" customHeight="1">
      <x:c r="A88" s="199" t="str">
        <x:v>Dorne</x:v>
      </x:c>
      <x:c r="B88" s="199" t="n">
        <x:v>12</x:v>
      </x:c>
      <x:c r="C88" s="200" t="n">
        <x:f>K87</x:f>
        <x:v>751561.9047619047</x:v>
      </x:c>
      <x:c r="D88" s="200" t="n">
        <x:f>((Income!B11*Income!$B$2+Income!C11*Income!$C$2)*Settings!B36+SUMPRODUCT(Income!D11:G11,Income!$D$2:$G$2)/12)*Inputs!P11+Income!N11/12</x:f>
        <x:v>53021.42857142857</x:v>
      </x:c>
      <x:c r="E88" s="200" t="n">
        <x:f>Income!I11*Settings!C36</x:f>
        <x:v>0</x:v>
      </x:c>
      <x:c r="F88" s="200" t="n">
        <x:f>(Outlays!K11-Outlays!J11+Outlays!Q11)/12</x:f>
        <x:v>41333.333333333336</x:v>
      </x:c>
      <x:c r="G88" s="200" t="n">
        <x:f>Outlays!J11*Settings!C36</x:f>
        <x:v>11250</x:v>
      </x:c>
      <x:c r="H88" s="200" t="n">
        <x:f>SUM(Outlays!L11:M11)*Settings!D36</x:f>
        <x:v>3000</x:v>
      </x:c>
      <x:c r="I88" s="200" t="n">
        <x:f>0</x:f>
        <x:v>0</x:v>
      </x:c>
      <x:c r="J88" s="200" t="n">
        <x:f>Debt!G11</x:f>
        <x:v>20000</x:v>
      </x:c>
      <x:c r="K88" s="200" t="n">
        <x:f>C88+D88+E88-F88-G88-H88+I88-J88</x:f>
        <x:v>728999.9999999999</x:v>
      </x:c>
      <x:c r="L88" s="201" t="str">
        <x:f>IF(K88&lt;0,"UNFUNDED","Funded")</x:f>
        <x:v>Funded</x:v>
      </x:c>
    </x:row>
    <x:row r="89" ht="28" customHeight="1">
      <x:c r="A89" s="128" t="str">
        <x:v>Iron Islands</x:v>
      </x:c>
      <x:c r="B89" s="128" t="n">
        <x:v>1</x:v>
      </x:c>
      <x:c r="C89" s="187" t="n">
        <x:f>Inputs!E12</x:f>
        <x:v>175000</x:v>
      </x:c>
      <x:c r="D89" s="187" t="n">
        <x:f>((Income!B12*Income!$B$2+Income!C12*Income!$C$2)*Settings!B25+SUMPRODUCT(Income!D12:G12,Income!$D$2:$G$2)/12)*Inputs!P12+Income!N12/12</x:f>
        <x:v>18990</x:v>
      </x:c>
      <x:c r="E89" s="187" t="n">
        <x:f>Income!I12*Settings!C25</x:f>
        <x:v>0</x:v>
      </x:c>
      <x:c r="F89" s="187" t="n">
        <x:f>(Outlays!K12-Outlays!J12+Outlays!Q12)/12</x:f>
        <x:v>18583.333333333332</x:v>
      </x:c>
      <x:c r="G89" s="187" t="n">
        <x:f>Outlays!J12*Settings!C25</x:f>
        <x:v>0</x:v>
      </x:c>
      <x:c r="H89" s="187" t="n">
        <x:f>SUM(Outlays!L12:M12)*Settings!D25</x:f>
        <x:v>5250</x:v>
      </x:c>
      <x:c r="I89" s="187" t="n">
        <x:f>Debt!H12</x:f>
        <x:v>0</x:v>
      </x:c>
      <x:c r="J89" s="187" t="n">
        <x:f>0</x:f>
        <x:v>0</x:v>
      </x:c>
      <x:c r="K89" s="187" t="n">
        <x:f>C89+D89+E89-F89-G89-H89+I89-J89</x:f>
        <x:v>170156.66666666666</x:v>
      </x:c>
      <x:c r="L89" s="198" t="str">
        <x:f>IF(K89&lt;0,"UNFUNDED","Funded")</x:f>
        <x:v>Funded</x:v>
      </x:c>
    </x:row>
    <x:row r="90" ht="28" customHeight="1">
      <x:c r="A90" s="128" t="str">
        <x:v>Iron Islands</x:v>
      </x:c>
      <x:c r="B90" s="128" t="n">
        <x:v>2</x:v>
      </x:c>
      <x:c r="C90" s="187" t="n">
        <x:f>K89</x:f>
        <x:v>170156.66666666666</x:v>
      </x:c>
      <x:c r="D90" s="187" t="n">
        <x:f>((Income!B12*Income!$B$2+Income!C12*Income!$C$2)*Settings!B26+SUMPRODUCT(Income!D12:G12,Income!$D$2:$G$2)/12)*Inputs!P12+Income!N12/12</x:f>
        <x:v>18990</x:v>
      </x:c>
      <x:c r="E90" s="187" t="n">
        <x:f>Income!I12*Settings!C26</x:f>
        <x:v>0</x:v>
      </x:c>
      <x:c r="F90" s="187" t="n">
        <x:f>(Outlays!K12-Outlays!J12+Outlays!Q12)/12</x:f>
        <x:v>18583.333333333332</x:v>
      </x:c>
      <x:c r="G90" s="187" t="n">
        <x:f>Outlays!J12*Settings!C26</x:f>
        <x:v>0</x:v>
      </x:c>
      <x:c r="H90" s="187" t="n">
        <x:f>SUM(Outlays!L12:M12)*Settings!D26</x:f>
        <x:v>5250</x:v>
      </x:c>
      <x:c r="I90" s="187" t="n">
        <x:f>0</x:f>
        <x:v>0</x:v>
      </x:c>
      <x:c r="J90" s="187" t="n">
        <x:f>0</x:f>
        <x:v>0</x:v>
      </x:c>
      <x:c r="K90" s="187" t="n">
        <x:f>C90+D90+E90-F90-G90-H90+I90-J90</x:f>
        <x:v>165313.3333333333</x:v>
      </x:c>
      <x:c r="L90" s="198" t="str">
        <x:f>IF(K90&lt;0,"UNFUNDED","Funded")</x:f>
        <x:v>Funded</x:v>
      </x:c>
    </x:row>
    <x:row r="91" ht="28" customHeight="1">
      <x:c r="A91" s="128" t="str">
        <x:v>Iron Islands</x:v>
      </x:c>
      <x:c r="B91" s="128" t="n">
        <x:v>3</x:v>
      </x:c>
      <x:c r="C91" s="187" t="n">
        <x:f>K90</x:f>
        <x:v>165313.3333333333</x:v>
      </x:c>
      <x:c r="D91" s="187" t="n">
        <x:f>((Income!B12*Income!$B$2+Income!C12*Income!$C$2)*Settings!B27+SUMPRODUCT(Income!D12:G12,Income!$D$2:$G$2)/12)*Inputs!P12+Income!N12/12</x:f>
        <x:v>18990</x:v>
      </x:c>
      <x:c r="E91" s="187" t="n">
        <x:f>Income!I12*Settings!C27</x:f>
        <x:v>0</x:v>
      </x:c>
      <x:c r="F91" s="187" t="n">
        <x:f>(Outlays!K12-Outlays!J12+Outlays!Q12)/12</x:f>
        <x:v>18583.333333333332</x:v>
      </x:c>
      <x:c r="G91" s="187" t="n">
        <x:f>Outlays!J12*Settings!C27</x:f>
        <x:v>5000</x:v>
      </x:c>
      <x:c r="H91" s="187" t="n">
        <x:f>SUM(Outlays!L12:M12)*Settings!D27</x:f>
        <x:v>3500</x:v>
      </x:c>
      <x:c r="I91" s="187" t="n">
        <x:f>0</x:f>
        <x:v>0</x:v>
      </x:c>
      <x:c r="J91" s="187" t="n">
        <x:f>0</x:f>
        <x:v>0</x:v>
      </x:c>
      <x:c r="K91" s="187" t="n">
        <x:f>C91+D91+E91-F91-G91-H91+I91-J91</x:f>
        <x:v>157219.99999999997</x:v>
      </x:c>
      <x:c r="L91" s="198" t="str">
        <x:f>IF(K91&lt;0,"UNFUNDED","Funded")</x:f>
        <x:v>Funded</x:v>
      </x:c>
    </x:row>
    <x:row r="92" ht="28" customHeight="1">
      <x:c r="A92" s="128" t="str">
        <x:v>Iron Islands</x:v>
      </x:c>
      <x:c r="B92" s="128" t="n">
        <x:v>4</x:v>
      </x:c>
      <x:c r="C92" s="187" t="n">
        <x:f>K91</x:f>
        <x:v>157219.99999999997</x:v>
      </x:c>
      <x:c r="D92" s="187" t="n">
        <x:f>((Income!B12*Income!$B$2+Income!C12*Income!$C$2)*Settings!B28+SUMPRODUCT(Income!D12:G12,Income!$D$2:$G$2)/12)*Inputs!P12+Income!N12/12</x:f>
        <x:v>18990</x:v>
      </x:c>
      <x:c r="E92" s="187" t="n">
        <x:f>Income!I12*Settings!C28</x:f>
        <x:v>0</x:v>
      </x:c>
      <x:c r="F92" s="187" t="n">
        <x:f>(Outlays!K12-Outlays!J12+Outlays!Q12)/12</x:f>
        <x:v>18583.333333333332</x:v>
      </x:c>
      <x:c r="G92" s="187" t="n">
        <x:f>Outlays!J12*Settings!C28</x:f>
        <x:v>0</x:v>
      </x:c>
      <x:c r="H92" s="187" t="n">
        <x:f>SUM(Outlays!L12:M12)*Settings!D28</x:f>
        <x:v>3500</x:v>
      </x:c>
      <x:c r="I92" s="187" t="n">
        <x:f>0</x:f>
        <x:v>0</x:v>
      </x:c>
      <x:c r="J92" s="187" t="n">
        <x:f>0</x:f>
        <x:v>0</x:v>
      </x:c>
      <x:c r="K92" s="187" t="n">
        <x:f>C92+D92+E92-F92-G92-H92+I92-J92</x:f>
        <x:v>154126.66666666663</x:v>
      </x:c>
      <x:c r="L92" s="198" t="str">
        <x:f>IF(K92&lt;0,"UNFUNDED","Funded")</x:f>
        <x:v>Funded</x:v>
      </x:c>
    </x:row>
    <x:row r="93" ht="28" customHeight="1">
      <x:c r="A93" s="128" t="str">
        <x:v>Iron Islands</x:v>
      </x:c>
      <x:c r="B93" s="128" t="n">
        <x:v>5</x:v>
      </x:c>
      <x:c r="C93" s="187" t="n">
        <x:f>K92</x:f>
        <x:v>154126.66666666663</x:v>
      </x:c>
      <x:c r="D93" s="187" t="n">
        <x:f>((Income!B12*Income!$B$2+Income!C12*Income!$C$2)*Settings!B29+SUMPRODUCT(Income!D12:G12,Income!$D$2:$G$2)/12)*Inputs!P12+Income!N12/12</x:f>
        <x:v>18990</x:v>
      </x:c>
      <x:c r="E93" s="187" t="n">
        <x:f>Income!I12*Settings!C29</x:f>
        <x:v>0</x:v>
      </x:c>
      <x:c r="F93" s="187" t="n">
        <x:f>(Outlays!K12-Outlays!J12+Outlays!Q12)/12</x:f>
        <x:v>18583.333333333332</x:v>
      </x:c>
      <x:c r="G93" s="187" t="n">
        <x:f>Outlays!J12*Settings!C29</x:f>
        <x:v>0</x:v>
      </x:c>
      <x:c r="H93" s="187" t="n">
        <x:f>SUM(Outlays!L12:M12)*Settings!D29</x:f>
        <x:v>3500</x:v>
      </x:c>
      <x:c r="I93" s="187" t="n">
        <x:f>0</x:f>
        <x:v>0</x:v>
      </x:c>
      <x:c r="J93" s="187" t="n">
        <x:f>0</x:f>
        <x:v>0</x:v>
      </x:c>
      <x:c r="K93" s="187" t="n">
        <x:f>C93+D93+E93-F93-G93-H93+I93-J93</x:f>
        <x:v>151033.33333333328</x:v>
      </x:c>
      <x:c r="L93" s="198" t="str">
        <x:f>IF(K93&lt;0,"UNFUNDED","Funded")</x:f>
        <x:v>Funded</x:v>
      </x:c>
    </x:row>
    <x:row r="94" ht="28" customHeight="1">
      <x:c r="A94" s="128" t="str">
        <x:v>Iron Islands</x:v>
      </x:c>
      <x:c r="B94" s="128" t="n">
        <x:v>6</x:v>
      </x:c>
      <x:c r="C94" s="187" t="n">
        <x:f>K93</x:f>
        <x:v>151033.33333333328</x:v>
      </x:c>
      <x:c r="D94" s="187" t="n">
        <x:f>((Income!B12*Income!$B$2+Income!C12*Income!$C$2)*Settings!B30+SUMPRODUCT(Income!D12:G12,Income!$D$2:$G$2)/12)*Inputs!P12+Income!N12/12</x:f>
        <x:v>23850</x:v>
      </x:c>
      <x:c r="E94" s="187" t="n">
        <x:f>Income!I12*Settings!C30</x:f>
        <x:v>0</x:v>
      </x:c>
      <x:c r="F94" s="187" t="n">
        <x:f>(Outlays!K12-Outlays!J12+Outlays!Q12)/12</x:f>
        <x:v>18583.333333333332</x:v>
      </x:c>
      <x:c r="G94" s="187" t="n">
        <x:f>Outlays!J12*Settings!C30</x:f>
        <x:v>5000</x:v>
      </x:c>
      <x:c r="H94" s="187" t="n">
        <x:f>SUM(Outlays!L12:M12)*Settings!D30</x:f>
        <x:v>3500</x:v>
      </x:c>
      <x:c r="I94" s="187" t="n">
        <x:f>0</x:f>
        <x:v>0</x:v>
      </x:c>
      <x:c r="J94" s="187" t="n">
        <x:f>0</x:f>
        <x:v>0</x:v>
      </x:c>
      <x:c r="K94" s="187" t="n">
        <x:f>C94+D94+E94-F94-G94-H94+I94-J94</x:f>
        <x:v>147799.99999999994</x:v>
      </x:c>
      <x:c r="L94" s="198" t="str">
        <x:f>IF(K94&lt;0,"UNFUNDED","Funded")</x:f>
        <x:v>Funded</x:v>
      </x:c>
    </x:row>
    <x:row r="95" ht="28" customHeight="1">
      <x:c r="A95" s="128" t="str">
        <x:v>Iron Islands</x:v>
      </x:c>
      <x:c r="B95" s="128" t="n">
        <x:v>7</x:v>
      </x:c>
      <x:c r="C95" s="187" t="n">
        <x:f>K94</x:f>
        <x:v>147799.99999999994</x:v>
      </x:c>
      <x:c r="D95" s="187" t="n">
        <x:f>((Income!B12*Income!$B$2+Income!C12*Income!$C$2)*Settings!B31+SUMPRODUCT(Income!D12:G12,Income!$D$2:$G$2)/12)*Inputs!P12+Income!N12/12</x:f>
        <x:v>18990</x:v>
      </x:c>
      <x:c r="E95" s="187" t="n">
        <x:f>Income!I12*Settings!C31</x:f>
        <x:v>0</x:v>
      </x:c>
      <x:c r="F95" s="187" t="n">
        <x:f>(Outlays!K12-Outlays!J12+Outlays!Q12)/12</x:f>
        <x:v>18583.333333333332</x:v>
      </x:c>
      <x:c r="G95" s="187" t="n">
        <x:f>Outlays!J12*Settings!C31</x:f>
        <x:v>0</x:v>
      </x:c>
      <x:c r="H95" s="187" t="n">
        <x:f>SUM(Outlays!L12:M12)*Settings!D31</x:f>
        <x:v>1750</x:v>
      </x:c>
      <x:c r="I95" s="187" t="n">
        <x:f>0</x:f>
        <x:v>0</x:v>
      </x:c>
      <x:c r="J95" s="187" t="n">
        <x:f>0</x:f>
        <x:v>0</x:v>
      </x:c>
      <x:c r="K95" s="187" t="n">
        <x:f>C95+D95+E95-F95-G95-H95+I95-J95</x:f>
        <x:v>146456.6666666666</x:v>
      </x:c>
      <x:c r="L95" s="198" t="str">
        <x:f>IF(K95&lt;0,"UNFUNDED","Funded")</x:f>
        <x:v>Funded</x:v>
      </x:c>
    </x:row>
    <x:row r="96" ht="28" customHeight="1">
      <x:c r="A96" s="128" t="str">
        <x:v>Iron Islands</x:v>
      </x:c>
      <x:c r="B96" s="128" t="n">
        <x:v>8</x:v>
      </x:c>
      <x:c r="C96" s="187" t="n">
        <x:f>K95</x:f>
        <x:v>146456.6666666666</x:v>
      </x:c>
      <x:c r="D96" s="187" t="n">
        <x:f>((Income!B12*Income!$B$2+Income!C12*Income!$C$2)*Settings!B32+SUMPRODUCT(Income!D12:G12,Income!$D$2:$G$2)/12)*Inputs!P12+Income!N12/12</x:f>
        <x:v>18990</x:v>
      </x:c>
      <x:c r="E96" s="187" t="n">
        <x:f>Income!I12*Settings!C32</x:f>
        <x:v>0</x:v>
      </x:c>
      <x:c r="F96" s="187" t="n">
        <x:f>(Outlays!K12-Outlays!J12+Outlays!Q12)/12</x:f>
        <x:v>18583.333333333332</x:v>
      </x:c>
      <x:c r="G96" s="187" t="n">
        <x:f>Outlays!J12*Settings!C32</x:f>
        <x:v>0</x:v>
      </x:c>
      <x:c r="H96" s="187" t="n">
        <x:f>SUM(Outlays!L12:M12)*Settings!D32</x:f>
        <x:v>1750</x:v>
      </x:c>
      <x:c r="I96" s="187" t="n">
        <x:f>0</x:f>
        <x:v>0</x:v>
      </x:c>
      <x:c r="J96" s="187" t="n">
        <x:f>0</x:f>
        <x:v>0</x:v>
      </x:c>
      <x:c r="K96" s="187" t="n">
        <x:f>C96+D96+E96-F96-G96-H96+I96-J96</x:f>
        <x:v>145113.33333333326</x:v>
      </x:c>
      <x:c r="L96" s="198" t="str">
        <x:f>IF(K96&lt;0,"UNFUNDED","Funded")</x:f>
        <x:v>Funded</x:v>
      </x:c>
    </x:row>
    <x:row r="97" ht="28" customHeight="1">
      <x:c r="A97" s="128" t="str">
        <x:v>Iron Islands</x:v>
      </x:c>
      <x:c r="B97" s="128" t="n">
        <x:v>9</x:v>
      </x:c>
      <x:c r="C97" s="187" t="n">
        <x:f>K96</x:f>
        <x:v>145113.33333333326</x:v>
      </x:c>
      <x:c r="D97" s="187" t="n">
        <x:f>((Income!B12*Income!$B$2+Income!C12*Income!$C$2)*Settings!B33+SUMPRODUCT(Income!D12:G12,Income!$D$2:$G$2)/12)*Inputs!P12+Income!N12/12</x:f>
        <x:v>44100</x:v>
      </x:c>
      <x:c r="E97" s="187" t="n">
        <x:f>Income!I12*Settings!C33</x:f>
        <x:v>0</x:v>
      </x:c>
      <x:c r="F97" s="187" t="n">
        <x:f>(Outlays!K12-Outlays!J12+Outlays!Q12)/12</x:f>
        <x:v>18583.333333333332</x:v>
      </x:c>
      <x:c r="G97" s="187" t="n">
        <x:f>Outlays!J12*Settings!C33</x:f>
        <x:v>5000</x:v>
      </x:c>
      <x:c r="H97" s="187" t="n">
        <x:f>SUM(Outlays!L12:M12)*Settings!D33</x:f>
        <x:v>1750</x:v>
      </x:c>
      <x:c r="I97" s="187" t="n">
        <x:f>0</x:f>
        <x:v>0</x:v>
      </x:c>
      <x:c r="J97" s="187" t="n">
        <x:f>0</x:f>
        <x:v>0</x:v>
      </x:c>
      <x:c r="K97" s="187" t="n">
        <x:f>C97+D97+E97-F97-G97-H97+I97-J97</x:f>
        <x:v>163879.9999999999</x:v>
      </x:c>
      <x:c r="L97" s="198" t="str">
        <x:f>IF(K97&lt;0,"UNFUNDED","Funded")</x:f>
        <x:v>Funded</x:v>
      </x:c>
    </x:row>
    <x:row r="98" ht="28" customHeight="1">
      <x:c r="A98" s="128" t="str">
        <x:v>Iron Islands</x:v>
      </x:c>
      <x:c r="B98" s="128" t="n">
        <x:v>10</x:v>
      </x:c>
      <x:c r="C98" s="187" t="n">
        <x:f>K97</x:f>
        <x:v>163879.9999999999</x:v>
      </x:c>
      <x:c r="D98" s="187" t="n">
        <x:f>((Income!B12*Income!$B$2+Income!C12*Income!$C$2)*Settings!B34+SUMPRODUCT(Income!D12:G12,Income!$D$2:$G$2)/12)*Inputs!P12+Income!N12/12</x:f>
        <x:v>27900</x:v>
      </x:c>
      <x:c r="E98" s="187" t="n">
        <x:f>Income!I12*Settings!C34</x:f>
        <x:v>0</x:v>
      </x:c>
      <x:c r="F98" s="187" t="n">
        <x:f>(Outlays!K12-Outlays!J12+Outlays!Q12)/12</x:f>
        <x:v>18583.333333333332</x:v>
      </x:c>
      <x:c r="G98" s="187" t="n">
        <x:f>Outlays!J12*Settings!C34</x:f>
        <x:v>0</x:v>
      </x:c>
      <x:c r="H98" s="187" t="n">
        <x:f>SUM(Outlays!L12:M12)*Settings!D34</x:f>
        <x:v>1750</x:v>
      </x:c>
      <x:c r="I98" s="187" t="n">
        <x:f>0</x:f>
        <x:v>0</x:v>
      </x:c>
      <x:c r="J98" s="187" t="n">
        <x:f>0</x:f>
        <x:v>0</x:v>
      </x:c>
      <x:c r="K98" s="187" t="n">
        <x:f>C98+D98+E98-F98-G98-H98+I98-J98</x:f>
        <x:v>171446.66666666657</x:v>
      </x:c>
      <x:c r="L98" s="198" t="str">
        <x:f>IF(K98&lt;0,"UNFUNDED","Funded")</x:f>
        <x:v>Funded</x:v>
      </x:c>
    </x:row>
    <x:row r="99" ht="28" customHeight="1">
      <x:c r="A99" s="128" t="str">
        <x:v>Iron Islands</x:v>
      </x:c>
      <x:c r="B99" s="128" t="n">
        <x:v>11</x:v>
      </x:c>
      <x:c r="C99" s="187" t="n">
        <x:f>K98</x:f>
        <x:v>171446.66666666657</x:v>
      </x:c>
      <x:c r="D99" s="187" t="n">
        <x:f>((Income!B12*Income!$B$2+Income!C12*Income!$C$2)*Settings!B35+SUMPRODUCT(Income!D12:G12,Income!$D$2:$G$2)/12)*Inputs!P12+Income!N12/12</x:f>
        <x:v>18990</x:v>
      </x:c>
      <x:c r="E99" s="187" t="n">
        <x:f>Income!I12*Settings!C35</x:f>
        <x:v>0</x:v>
      </x:c>
      <x:c r="F99" s="187" t="n">
        <x:f>(Outlays!K12-Outlays!J12+Outlays!Q12)/12</x:f>
        <x:v>18583.333333333332</x:v>
      </x:c>
      <x:c r="G99" s="187" t="n">
        <x:f>Outlays!J12*Settings!C35</x:f>
        <x:v>0</x:v>
      </x:c>
      <x:c r="H99" s="187" t="n">
        <x:f>SUM(Outlays!L12:M12)*Settings!D35</x:f>
        <x:v>1750</x:v>
      </x:c>
      <x:c r="I99" s="187" t="n">
        <x:f>0</x:f>
        <x:v>0</x:v>
      </x:c>
      <x:c r="J99" s="187" t="n">
        <x:f>0</x:f>
        <x:v>0</x:v>
      </x:c>
      <x:c r="K99" s="187" t="n">
        <x:f>C99+D99+E99-F99-G99-H99+I99-J99</x:f>
        <x:v>170103.33333333323</x:v>
      </x:c>
      <x:c r="L99" s="198" t="str">
        <x:f>IF(K99&lt;0,"UNFUNDED","Funded")</x:f>
        <x:v>Funded</x:v>
      </x:c>
    </x:row>
    <x:row r="100" ht="28" customHeight="1">
      <x:c r="A100" s="199" t="str">
        <x:v>Iron Islands</x:v>
      </x:c>
      <x:c r="B100" s="199" t="n">
        <x:v>12</x:v>
      </x:c>
      <x:c r="C100" s="200" t="n">
        <x:f>K99</x:f>
        <x:v>170103.33333333323</x:v>
      </x:c>
      <x:c r="D100" s="200" t="n">
        <x:f>((Income!B12*Income!$B$2+Income!C12*Income!$C$2)*Settings!B36+SUMPRODUCT(Income!D12:G12,Income!$D$2:$G$2)/12)*Inputs!P12+Income!N12/12</x:f>
        <x:v>22230</x:v>
      </x:c>
      <x:c r="E100" s="200" t="n">
        <x:f>Income!I12*Settings!C36</x:f>
        <x:v>0</x:v>
      </x:c>
      <x:c r="F100" s="200" t="n">
        <x:f>(Outlays!K12-Outlays!J12+Outlays!Q12)/12</x:f>
        <x:v>18583.333333333332</x:v>
      </x:c>
      <x:c r="G100" s="200" t="n">
        <x:f>Outlays!J12*Settings!C36</x:f>
        <x:v>5000</x:v>
      </x:c>
      <x:c r="H100" s="200" t="n">
        <x:f>SUM(Outlays!L12:M12)*Settings!D36</x:f>
        <x:v>1750</x:v>
      </x:c>
      <x:c r="I100" s="200" t="n">
        <x:f>0</x:f>
        <x:v>0</x:v>
      </x:c>
      <x:c r="J100" s="200" t="n">
        <x:f>Debt!G12</x:f>
        <x:v>10000</x:v>
      </x:c>
      <x:c r="K100" s="200" t="n">
        <x:f>C100+D100+E100-F100-G100-H100+I100-J100</x:f>
        <x:v>156999.99999999988</x:v>
      </x:c>
      <x:c r="L100" s="201" t="str">
        <x:f>IF(K100&lt;0,"UNFUNDED","Funded")</x:f>
        <x:v>Funded</x:v>
      </x:c>
    </x:row>
    <x:row r="101" ht="28" customHeight="1">
      <x:c r="A101" s="128" t="str">
        <x:v>Crownlands / Crown</x:v>
      </x:c>
      <x:c r="B101" s="128" t="n">
        <x:v>1</x:v>
      </x:c>
      <x:c r="C101" s="187" t="n">
        <x:f>Inputs!E13</x:f>
        <x:v>3000000</x:v>
      </x:c>
      <x:c r="D101" s="187" t="n">
        <x:f>((Income!B13*Income!$B$2+Income!C13*Income!$C$2)*Settings!B25+SUMPRODUCT(Income!D13:G13,Income!$D$2:$G$2)/12)*Inputs!P13+Income!N13/12</x:f>
        <x:v>95215.90909090909</x:v>
      </x:c>
      <x:c r="E101" s="187" t="n">
        <x:f>Income!I13*Settings!C25</x:f>
        <x:v>0</x:v>
      </x:c>
      <x:c r="F101" s="187" t="n">
        <x:f>(Outlays!K13-Outlays!J13+Outlays!Q13)/12</x:f>
        <x:v>122500</x:v>
      </x:c>
      <x:c r="G101" s="187" t="n">
        <x:f>Outlays!J13*Settings!C25</x:f>
        <x:v>0</x:v>
      </x:c>
      <x:c r="H101" s="187" t="n">
        <x:f>SUM(Outlays!L13:M13)*Settings!D25</x:f>
        <x:v>97500</x:v>
      </x:c>
      <x:c r="I101" s="187" t="n">
        <x:f>Debt!H13</x:f>
        <x:v>0</x:v>
      </x:c>
      <x:c r="J101" s="187" t="n">
        <x:f>0</x:f>
        <x:v>0</x:v>
      </x:c>
      <x:c r="K101" s="187" t="n">
        <x:f>C101+D101+E101-F101-G101-H101+I101-J101</x:f>
        <x:v>2875215.909090909</x:v>
      </x:c>
      <x:c r="L101" s="198" t="str">
        <x:f>IF(K101&lt;0,"UNFUNDED","Funded")</x:f>
        <x:v>Funded</x:v>
      </x:c>
    </x:row>
    <x:row r="102" ht="28" customHeight="1">
      <x:c r="A102" s="128" t="str">
        <x:v>Crownlands / Crown</x:v>
      </x:c>
      <x:c r="B102" s="128" t="n">
        <x:v>2</x:v>
      </x:c>
      <x:c r="C102" s="187" t="n">
        <x:f>K101</x:f>
        <x:v>2875215.909090909</x:v>
      </x:c>
      <x:c r="D102" s="187" t="n">
        <x:f>((Income!B13*Income!$B$2+Income!C13*Income!$C$2)*Settings!B26+SUMPRODUCT(Income!D13:G13,Income!$D$2:$G$2)/12)*Inputs!P13+Income!N13/12</x:f>
        <x:v>95215.90909090909</x:v>
      </x:c>
      <x:c r="E102" s="187" t="n">
        <x:f>Income!I13*Settings!C26</x:f>
        <x:v>0</x:v>
      </x:c>
      <x:c r="F102" s="187" t="n">
        <x:f>(Outlays!K13-Outlays!J13+Outlays!Q13)/12</x:f>
        <x:v>122500</x:v>
      </x:c>
      <x:c r="G102" s="187" t="n">
        <x:f>Outlays!J13*Settings!C26</x:f>
        <x:v>0</x:v>
      </x:c>
      <x:c r="H102" s="187" t="n">
        <x:f>SUM(Outlays!L13:M13)*Settings!D26</x:f>
        <x:v>97500</x:v>
      </x:c>
      <x:c r="I102" s="187" t="n">
        <x:f>0</x:f>
        <x:v>0</x:v>
      </x:c>
      <x:c r="J102" s="187" t="n">
        <x:f>0</x:f>
        <x:v>0</x:v>
      </x:c>
      <x:c r="K102" s="187" t="n">
        <x:f>C102+D102+E102-F102-G102-H102+I102-J102</x:f>
        <x:v>2750431.8181818184</x:v>
      </x:c>
      <x:c r="L102" s="198" t="str">
        <x:f>IF(K102&lt;0,"UNFUNDED","Funded")</x:f>
        <x:v>Funded</x:v>
      </x:c>
    </x:row>
    <x:row r="103" ht="28" customHeight="1">
      <x:c r="A103" s="128" t="str">
        <x:v>Crownlands / Crown</x:v>
      </x:c>
      <x:c r="B103" s="128" t="n">
        <x:v>3</x:v>
      </x:c>
      <x:c r="C103" s="187" t="n">
        <x:f>K102</x:f>
        <x:v>2750431.8181818184</x:v>
      </x:c>
      <x:c r="D103" s="187" t="n">
        <x:f>((Income!B13*Income!$B$2+Income!C13*Income!$C$2)*Settings!B27+SUMPRODUCT(Income!D13:G13,Income!$D$2:$G$2)/12)*Inputs!P13+Income!N13/12</x:f>
        <x:v>95215.90909090909</x:v>
      </x:c>
      <x:c r="E103" s="187" t="n">
        <x:f>Income!I13*Settings!C27</x:f>
        <x:v>207500</x:v>
      </x:c>
      <x:c r="F103" s="187" t="n">
        <x:f>(Outlays!K13-Outlays!J13+Outlays!Q13)/12</x:f>
        <x:v>122500</x:v>
      </x:c>
      <x:c r="G103" s="187" t="n">
        <x:f>Outlays!J13*Settings!C27</x:f>
        <x:v>0</x:v>
      </x:c>
      <x:c r="H103" s="187" t="n">
        <x:f>SUM(Outlays!L13:M13)*Settings!D27</x:f>
        <x:v>65000</x:v>
      </x:c>
      <x:c r="I103" s="187" t="n">
        <x:f>0</x:f>
        <x:v>0</x:v>
      </x:c>
      <x:c r="J103" s="187" t="n">
        <x:f>0</x:f>
        <x:v>0</x:v>
      </x:c>
      <x:c r="K103" s="187" t="n">
        <x:f>C103+D103+E103-F103-G103-H103+I103-J103</x:f>
        <x:v>2865647.7272727275</x:v>
      </x:c>
      <x:c r="L103" s="198" t="str">
        <x:f>IF(K103&lt;0,"UNFUNDED","Funded")</x:f>
        <x:v>Funded</x:v>
      </x:c>
    </x:row>
    <x:row r="104" ht="28" customHeight="1">
      <x:c r="A104" s="128" t="str">
        <x:v>Crownlands / Crown</x:v>
      </x:c>
      <x:c r="B104" s="128" t="n">
        <x:v>4</x:v>
      </x:c>
      <x:c r="C104" s="187" t="n">
        <x:f>K103</x:f>
        <x:v>2865647.7272727275</x:v>
      </x:c>
      <x:c r="D104" s="187" t="n">
        <x:f>((Income!B13*Income!$B$2+Income!C13*Income!$C$2)*Settings!B28+SUMPRODUCT(Income!D13:G13,Income!$D$2:$G$2)/12)*Inputs!P13+Income!N13/12</x:f>
        <x:v>95215.90909090909</x:v>
      </x:c>
      <x:c r="E104" s="187" t="n">
        <x:f>Income!I13*Settings!C28</x:f>
        <x:v>0</x:v>
      </x:c>
      <x:c r="F104" s="187" t="n">
        <x:f>(Outlays!K13-Outlays!J13+Outlays!Q13)/12</x:f>
        <x:v>122500</x:v>
      </x:c>
      <x:c r="G104" s="187" t="n">
        <x:f>Outlays!J13*Settings!C28</x:f>
        <x:v>0</x:v>
      </x:c>
      <x:c r="H104" s="187" t="n">
        <x:f>SUM(Outlays!L13:M13)*Settings!D28</x:f>
        <x:v>65000</x:v>
      </x:c>
      <x:c r="I104" s="187" t="n">
        <x:f>0</x:f>
        <x:v>0</x:v>
      </x:c>
      <x:c r="J104" s="187" t="n">
        <x:f>0</x:f>
        <x:v>0</x:v>
      </x:c>
      <x:c r="K104" s="187" t="n">
        <x:f>C104+D104+E104-F104-G104-H104+I104-J104</x:f>
        <x:v>2773363.6363636367</x:v>
      </x:c>
      <x:c r="L104" s="198" t="str">
        <x:f>IF(K104&lt;0,"UNFUNDED","Funded")</x:f>
        <x:v>Funded</x:v>
      </x:c>
    </x:row>
    <x:row r="105" ht="28" customHeight="1">
      <x:c r="A105" s="128" t="str">
        <x:v>Crownlands / Crown</x:v>
      </x:c>
      <x:c r="B105" s="128" t="n">
        <x:v>5</x:v>
      </x:c>
      <x:c r="C105" s="187" t="n">
        <x:f>K104</x:f>
        <x:v>2773363.6363636367</x:v>
      </x:c>
      <x:c r="D105" s="187" t="n">
        <x:f>((Income!B13*Income!$B$2+Income!C13*Income!$C$2)*Settings!B29+SUMPRODUCT(Income!D13:G13,Income!$D$2:$G$2)/12)*Inputs!P13+Income!N13/12</x:f>
        <x:v>95215.90909090909</x:v>
      </x:c>
      <x:c r="E105" s="187" t="n">
        <x:f>Income!I13*Settings!C29</x:f>
        <x:v>0</x:v>
      </x:c>
      <x:c r="F105" s="187" t="n">
        <x:f>(Outlays!K13-Outlays!J13+Outlays!Q13)/12</x:f>
        <x:v>122500</x:v>
      </x:c>
      <x:c r="G105" s="187" t="n">
        <x:f>Outlays!J13*Settings!C29</x:f>
        <x:v>0</x:v>
      </x:c>
      <x:c r="H105" s="187" t="n">
        <x:f>SUM(Outlays!L13:M13)*Settings!D29</x:f>
        <x:v>65000</x:v>
      </x:c>
      <x:c r="I105" s="187" t="n">
        <x:f>0</x:f>
        <x:v>0</x:v>
      </x:c>
      <x:c r="J105" s="187" t="n">
        <x:f>0</x:f>
        <x:v>0</x:v>
      </x:c>
      <x:c r="K105" s="187" t="n">
        <x:f>C105+D105+E105-F105-G105-H105+I105-J105</x:f>
        <x:v>2681079.545454546</x:v>
      </x:c>
      <x:c r="L105" s="198" t="str">
        <x:f>IF(K105&lt;0,"UNFUNDED","Funded")</x:f>
        <x:v>Funded</x:v>
      </x:c>
    </x:row>
    <x:row r="106" ht="28" customHeight="1">
      <x:c r="A106" s="128" t="str">
        <x:v>Crownlands / Crown</x:v>
      </x:c>
      <x:c r="B106" s="128" t="n">
        <x:v>6</x:v>
      </x:c>
      <x:c r="C106" s="187" t="n">
        <x:f>K105</x:f>
        <x:v>2681079.545454546</x:v>
      </x:c>
      <x:c r="D106" s="187" t="n">
        <x:f>((Income!B13*Income!$B$2+Income!C13*Income!$C$2)*Settings!B30+SUMPRODUCT(Income!D13:G13,Income!$D$2:$G$2)/12)*Inputs!P13+Income!N13/12</x:f>
        <x:v>119147.72727272726</x:v>
      </x:c>
      <x:c r="E106" s="187" t="n">
        <x:f>Income!I13*Settings!C30</x:f>
        <x:v>207500</x:v>
      </x:c>
      <x:c r="F106" s="187" t="n">
        <x:f>(Outlays!K13-Outlays!J13+Outlays!Q13)/12</x:f>
        <x:v>122500</x:v>
      </x:c>
      <x:c r="G106" s="187" t="n">
        <x:f>Outlays!J13*Settings!C30</x:f>
        <x:v>0</x:v>
      </x:c>
      <x:c r="H106" s="187" t="n">
        <x:f>SUM(Outlays!L13:M13)*Settings!D30</x:f>
        <x:v>65000</x:v>
      </x:c>
      <x:c r="I106" s="187" t="n">
        <x:f>0</x:f>
        <x:v>0</x:v>
      </x:c>
      <x:c r="J106" s="187" t="n">
        <x:f>0</x:f>
        <x:v>0</x:v>
      </x:c>
      <x:c r="K106" s="187" t="n">
        <x:f>C106+D106+E106-F106-G106-H106+I106-J106</x:f>
        <x:v>2820227.272727273</x:v>
      </x:c>
      <x:c r="L106" s="198" t="str">
        <x:f>IF(K106&lt;0,"UNFUNDED","Funded")</x:f>
        <x:v>Funded</x:v>
      </x:c>
    </x:row>
    <x:row r="107" ht="28" customHeight="1">
      <x:c r="A107" s="128" t="str">
        <x:v>Crownlands / Crown</x:v>
      </x:c>
      <x:c r="B107" s="128" t="n">
        <x:v>7</x:v>
      </x:c>
      <x:c r="C107" s="187" t="n">
        <x:f>K106</x:f>
        <x:v>2820227.272727273</x:v>
      </x:c>
      <x:c r="D107" s="187" t="n">
        <x:f>((Income!B13*Income!$B$2+Income!C13*Income!$C$2)*Settings!B31+SUMPRODUCT(Income!D13:G13,Income!$D$2:$G$2)/12)*Inputs!P13+Income!N13/12</x:f>
        <x:v>95215.90909090909</x:v>
      </x:c>
      <x:c r="E107" s="187" t="n">
        <x:f>Income!I13*Settings!C31</x:f>
        <x:v>0</x:v>
      </x:c>
      <x:c r="F107" s="187" t="n">
        <x:f>(Outlays!K13-Outlays!J13+Outlays!Q13)/12</x:f>
        <x:v>122500</x:v>
      </x:c>
      <x:c r="G107" s="187" t="n">
        <x:f>Outlays!J13*Settings!C31</x:f>
        <x:v>0</x:v>
      </x:c>
      <x:c r="H107" s="187" t="n">
        <x:f>SUM(Outlays!L13:M13)*Settings!D31</x:f>
        <x:v>32500</x:v>
      </x:c>
      <x:c r="I107" s="187" t="n">
        <x:f>0</x:f>
        <x:v>0</x:v>
      </x:c>
      <x:c r="J107" s="187" t="n">
        <x:f>0</x:f>
        <x:v>0</x:v>
      </x:c>
      <x:c r="K107" s="187" t="n">
        <x:f>C107+D107+E107-F107-G107-H107+I107-J107</x:f>
        <x:v>2760443.181818182</x:v>
      </x:c>
      <x:c r="L107" s="198" t="str">
        <x:f>IF(K107&lt;0,"UNFUNDED","Funded")</x:f>
        <x:v>Funded</x:v>
      </x:c>
    </x:row>
    <x:row r="108" ht="28" customHeight="1">
      <x:c r="A108" s="128" t="str">
        <x:v>Crownlands / Crown</x:v>
      </x:c>
      <x:c r="B108" s="128" t="n">
        <x:v>8</x:v>
      </x:c>
      <x:c r="C108" s="187" t="n">
        <x:f>K107</x:f>
        <x:v>2760443.181818182</x:v>
      </x:c>
      <x:c r="D108" s="187" t="n">
        <x:f>((Income!B13*Income!$B$2+Income!C13*Income!$C$2)*Settings!B32+SUMPRODUCT(Income!D13:G13,Income!$D$2:$G$2)/12)*Inputs!P13+Income!N13/12</x:f>
        <x:v>95215.90909090909</x:v>
      </x:c>
      <x:c r="E108" s="187" t="n">
        <x:f>Income!I13*Settings!C32</x:f>
        <x:v>0</x:v>
      </x:c>
      <x:c r="F108" s="187" t="n">
        <x:f>(Outlays!K13-Outlays!J13+Outlays!Q13)/12</x:f>
        <x:v>122500</x:v>
      </x:c>
      <x:c r="G108" s="187" t="n">
        <x:f>Outlays!J13*Settings!C32</x:f>
        <x:v>0</x:v>
      </x:c>
      <x:c r="H108" s="187" t="n">
        <x:f>SUM(Outlays!L13:M13)*Settings!D32</x:f>
        <x:v>32500</x:v>
      </x:c>
      <x:c r="I108" s="187" t="n">
        <x:f>0</x:f>
        <x:v>0</x:v>
      </x:c>
      <x:c r="J108" s="187" t="n">
        <x:f>0</x:f>
        <x:v>0</x:v>
      </x:c>
      <x:c r="K108" s="187" t="n">
        <x:f>C108+D108+E108-F108-G108-H108+I108-J108</x:f>
        <x:v>2700659.0909090913</x:v>
      </x:c>
      <x:c r="L108" s="198" t="str">
        <x:f>IF(K108&lt;0,"UNFUNDED","Funded")</x:f>
        <x:v>Funded</x:v>
      </x:c>
    </x:row>
    <x:row r="109" ht="28" customHeight="1">
      <x:c r="A109" s="128" t="str">
        <x:v>Crownlands / Crown</x:v>
      </x:c>
      <x:c r="B109" s="128" t="n">
        <x:v>9</x:v>
      </x:c>
      <x:c r="C109" s="187" t="n">
        <x:f>K108</x:f>
        <x:v>2700659.0909090913</x:v>
      </x:c>
      <x:c r="D109" s="187" t="n">
        <x:f>((Income!B13*Income!$B$2+Income!C13*Income!$C$2)*Settings!B33+SUMPRODUCT(Income!D13:G13,Income!$D$2:$G$2)/12)*Inputs!P13+Income!N13/12</x:f>
        <x:v>218863.63636363635</x:v>
      </x:c>
      <x:c r="E109" s="187" t="n">
        <x:f>Income!I13*Settings!C33</x:f>
        <x:v>207500</x:v>
      </x:c>
      <x:c r="F109" s="187" t="n">
        <x:f>(Outlays!K13-Outlays!J13+Outlays!Q13)/12</x:f>
        <x:v>122500</x:v>
      </x:c>
      <x:c r="G109" s="187" t="n">
        <x:f>Outlays!J13*Settings!C33</x:f>
        <x:v>0</x:v>
      </x:c>
      <x:c r="H109" s="187" t="n">
        <x:f>SUM(Outlays!L13:M13)*Settings!D33</x:f>
        <x:v>32500</x:v>
      </x:c>
      <x:c r="I109" s="187" t="n">
        <x:f>0</x:f>
        <x:v>0</x:v>
      </x:c>
      <x:c r="J109" s="187" t="n">
        <x:f>0</x:f>
        <x:v>0</x:v>
      </x:c>
      <x:c r="K109" s="187" t="n">
        <x:f>C109+D109+E109-F109-G109-H109+I109-J109</x:f>
        <x:v>2972022.7272727275</x:v>
      </x:c>
      <x:c r="L109" s="198" t="str">
        <x:f>IF(K109&lt;0,"UNFUNDED","Funded")</x:f>
        <x:v>Funded</x:v>
      </x:c>
    </x:row>
    <x:row r="110" ht="28" customHeight="1">
      <x:c r="A110" s="128" t="str">
        <x:v>Crownlands / Crown</x:v>
      </x:c>
      <x:c r="B110" s="128" t="n">
        <x:v>10</x:v>
      </x:c>
      <x:c r="C110" s="187" t="n">
        <x:f>K109</x:f>
        <x:v>2972022.7272727275</x:v>
      </x:c>
      <x:c r="D110" s="187" t="n">
        <x:f>((Income!B13*Income!$B$2+Income!C13*Income!$C$2)*Settings!B34+SUMPRODUCT(Income!D13:G13,Income!$D$2:$G$2)/12)*Inputs!P13+Income!N13/12</x:f>
        <x:v>139090.9090909091</x:v>
      </x:c>
      <x:c r="E110" s="187" t="n">
        <x:f>Income!I13*Settings!C34</x:f>
        <x:v>0</x:v>
      </x:c>
      <x:c r="F110" s="187" t="n">
        <x:f>(Outlays!K13-Outlays!J13+Outlays!Q13)/12</x:f>
        <x:v>122500</x:v>
      </x:c>
      <x:c r="G110" s="187" t="n">
        <x:f>Outlays!J13*Settings!C34</x:f>
        <x:v>0</x:v>
      </x:c>
      <x:c r="H110" s="187" t="n">
        <x:f>SUM(Outlays!L13:M13)*Settings!D34</x:f>
        <x:v>32500</x:v>
      </x:c>
      <x:c r="I110" s="187" t="n">
        <x:f>0</x:f>
        <x:v>0</x:v>
      </x:c>
      <x:c r="J110" s="187" t="n">
        <x:f>0</x:f>
        <x:v>0</x:v>
      </x:c>
      <x:c r="K110" s="187" t="n">
        <x:f>C110+D110+E110-F110-G110-H110+I110-J110</x:f>
        <x:v>2956113.6363636367</x:v>
      </x:c>
      <x:c r="L110" s="198" t="str">
        <x:f>IF(K110&lt;0,"UNFUNDED","Funded")</x:f>
        <x:v>Funded</x:v>
      </x:c>
    </x:row>
    <x:row r="111" ht="28" customHeight="1">
      <x:c r="A111" s="128" t="str">
        <x:v>Crownlands / Crown</x:v>
      </x:c>
      <x:c r="B111" s="128" t="n">
        <x:v>11</x:v>
      </x:c>
      <x:c r="C111" s="187" t="n">
        <x:f>K110</x:f>
        <x:v>2956113.6363636367</x:v>
      </x:c>
      <x:c r="D111" s="187" t="n">
        <x:f>((Income!B13*Income!$B$2+Income!C13*Income!$C$2)*Settings!B35+SUMPRODUCT(Income!D13:G13,Income!$D$2:$G$2)/12)*Inputs!P13+Income!N13/12</x:f>
        <x:v>95215.90909090909</x:v>
      </x:c>
      <x:c r="E111" s="187" t="n">
        <x:f>Income!I13*Settings!C35</x:f>
        <x:v>0</x:v>
      </x:c>
      <x:c r="F111" s="187" t="n">
        <x:f>(Outlays!K13-Outlays!J13+Outlays!Q13)/12</x:f>
        <x:v>122500</x:v>
      </x:c>
      <x:c r="G111" s="187" t="n">
        <x:f>Outlays!J13*Settings!C35</x:f>
        <x:v>0</x:v>
      </x:c>
      <x:c r="H111" s="187" t="n">
        <x:f>SUM(Outlays!L13:M13)*Settings!D35</x:f>
        <x:v>32500</x:v>
      </x:c>
      <x:c r="I111" s="187" t="n">
        <x:f>0</x:f>
        <x:v>0</x:v>
      </x:c>
      <x:c r="J111" s="187" t="n">
        <x:f>0</x:f>
        <x:v>0</x:v>
      </x:c>
      <x:c r="K111" s="187" t="n">
        <x:f>C111+D111+E111-F111-G111-H111+I111-J111</x:f>
        <x:v>2896329.545454546</x:v>
      </x:c>
      <x:c r="L111" s="198" t="str">
        <x:f>IF(K111&lt;0,"UNFUNDED","Funded")</x:f>
        <x:v>Funded</x:v>
      </x:c>
    </x:row>
    <x:row r="112" ht="28" customHeight="1">
      <x:c r="A112" s="199" t="str">
        <x:v>Crownlands / Crown</x:v>
      </x:c>
      <x:c r="B112" s="199" t="n">
        <x:v>12</x:v>
      </x:c>
      <x:c r="C112" s="200" t="n">
        <x:f>K111</x:f>
        <x:v>2896329.545454546</x:v>
      </x:c>
      <x:c r="D112" s="200" t="n">
        <x:f>((Income!B13*Income!$B$2+Income!C13*Income!$C$2)*Settings!B36+SUMPRODUCT(Income!D13:G13,Income!$D$2:$G$2)/12)*Inputs!P13+Income!N13/12</x:f>
        <x:v>111170.45454545454</x:v>
      </x:c>
      <x:c r="E112" s="200" t="n">
        <x:f>Income!I13*Settings!C36</x:f>
        <x:v>207500</x:v>
      </x:c>
      <x:c r="F112" s="200" t="n">
        <x:f>(Outlays!K13-Outlays!J13+Outlays!Q13)/12</x:f>
        <x:v>122500</x:v>
      </x:c>
      <x:c r="G112" s="200" t="n">
        <x:f>Outlays!J13*Settings!C36</x:f>
        <x:v>0</x:v>
      </x:c>
      <x:c r="H112" s="200" t="n">
        <x:f>SUM(Outlays!L13:M13)*Settings!D36</x:f>
        <x:v>32500</x:v>
      </x:c>
      <x:c r="I112" s="200" t="n">
        <x:f>0</x:f>
        <x:v>0</x:v>
      </x:c>
      <x:c r="J112" s="200" t="n">
        <x:f>Debt!G13</x:f>
        <x:v>0</x:v>
      </x:c>
      <x:c r="K112" s="200" t="n">
        <x:f>C112+D112+E112-F112-G112-H112+I112-J112</x:f>
        <x:v>3060000.0000000005</x:v>
      </x:c>
      <x:c r="L112" s="201" t="str">
        <x:f>IF(K112&lt;0,"UNFUNDED","Funded")</x:f>
        <x:v>Funded</x:v>
      </x:c>
    </x:row>
    <x:row r="113" ht="22" customHeight="1">
      <x:c r="A113" s="128"/>
      <x:c r="B113" s="128"/>
      <x:c r="C113" s="128"/>
      <x:c r="D113" s="128"/>
      <x:c r="E113" s="128"/>
      <x:c r="F113" s="128"/>
      <x:c r="G113" s="128"/>
      <x:c r="H113" s="128"/>
      <x:c r="I113" s="128"/>
      <x:c r="J113" s="128"/>
      <x:c r="K113" s="128"/>
      <x:c r="L113" s="128"/>
    </x:row>
    <x:row r="114" ht="22" customHeight="1">
      <x:c r="A114" s="128"/>
      <x:c r="B114" s="128"/>
      <x:c r="C114" s="128"/>
      <x:c r="D114" s="128"/>
      <x:c r="E114" s="128"/>
      <x:c r="F114" s="128"/>
      <x:c r="G114" s="128"/>
      <x:c r="H114" s="128"/>
      <x:c r="I114" s="128"/>
      <x:c r="J114" s="128"/>
      <x:c r="K114" s="128"/>
      <x:c r="L114" s="128"/>
    </x:row>
    <x:row r="115" ht="35" customHeight="1">
      <x:c r="A115" s="131" t="str">
        <x:v>Own-source receipts split seasonal estates / feudal dues from monthly trade and other receipts. Crown remittances are quarterly. Negative cash means financing must be arranged.</x:v>
      </x:c>
      <x:c r="B115" s="131"/>
      <x:c r="C115" s="131"/>
      <x:c r="D115" s="131"/>
      <x:c r="E115" s="131"/>
      <x:c r="F115" s="131"/>
      <x:c r="G115" s="131"/>
      <x:c r="H115" s="131"/>
      <x:c r="I115" s="131"/>
      <x:c r="J115" s="131"/>
      <x:c r="K115" s="131"/>
      <x:c r="L115" s="131"/>
    </x:row>
    <x:row r="116" ht="22" customHeight="1">
      <x:c r="A116" s="128"/>
      <x:c r="B116" s="128"/>
      <x:c r="C116" s="128"/>
      <x:c r="D116" s="128"/>
      <x:c r="E116" s="128"/>
      <x:c r="F116" s="128"/>
      <x:c r="G116" s="128"/>
      <x:c r="H116" s="128"/>
      <x:c r="I116" s="128"/>
      <x:c r="J116" s="128"/>
      <x:c r="K116" s="128"/>
      <x:c r="L116" s="128"/>
    </x:row>
    <x:row r="117" ht="22" customHeight="1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</x:row>
    <x:row r="118" ht="22" customHeight="1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</x:row>
  </x:sheetData>
  <x:mergeCells>
    <x:mergeCell ref="A1:L1"/>
    <x:mergeCell ref="A115:L115"/>
  </x:mergeCells>
  <x:conditionalFormatting sqref="K5:K112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65" hidden="0" customWidth="1"/>
  </x:cols>
  <x:sheetData>
    <x:row r="1" ht="32" customHeight="1">
      <x:c r="A1" s="124" t="str">
        <x:v>Units, physical conventions and cash calendar</x:v>
      </x:c>
      <x:c r="B1" s="124"/>
      <x:c r="C1" s="124"/>
      <x:c r="D1" s="124"/>
    </x:row>
    <x:row r="2">
      <x:c r="A2" s="125"/>
      <x:c r="B2" s="125"/>
      <x:c r="C2" s="125"/>
      <x:c r="D2" s="125"/>
    </x:row>
    <x:row r="3">
      <x:c r="A3" s="125"/>
      <x:c r="B3" s="125"/>
      <x:c r="C3" s="125"/>
      <x:c r="D3" s="125"/>
    </x:row>
    <x:row r="4" ht="38" customHeight="1">
      <x:c r="A4" s="140" t="str">
        <x:v>Setting</x:v>
      </x:c>
      <x:c r="B4" s="140" t="str">
        <x:v>Value</x:v>
      </x:c>
      <x:c r="C4" s="140" t="str">
        <x:v>Unit</x:v>
      </x:c>
      <x:c r="D4" s="140" t="str">
        <x:v>Basis / limitation</x:v>
      </x:c>
    </x:row>
    <x:row r="5" ht="28" customHeight="1">
      <x:c r="A5" s="155" t="str">
        <x:v>Old reference DA per gold dragon</x:v>
      </x:c>
      <x:c r="B5" s="203" t="n">
        <x:v>30</x:v>
      </x:c>
      <x:c r="C5" s="155" t="str">
        <x:v>DA / G</x:v>
      </x:c>
      <x:c r="D5" s="161" t="str">
        <x:v>U2 unit conversion; new G always means an actual gold dragon</x:v>
      </x:c>
    </x:row>
    <x:row r="6" ht="28" customHeight="1">
      <x:c r="A6" s="155" t="str">
        <x:v>Silver stags per gold dragon</x:v>
      </x:c>
      <x:c r="B6" s="203" t="n">
        <x:v>210</x:v>
      </x:c>
      <x:c r="C6" s="155" t="str">
        <x:v>stags / G</x:v>
      </x:c>
      <x:c r="D6" s="161" t="str">
        <x:v>L1: roleplaying convention, not author-confirmed fixed exchange</x:v>
      </x:c>
    </x:row>
    <x:row r="7" ht="28" customHeight="1">
      <x:c r="A7" s="155" t="str">
        <x:v>Copper pennies per silver stag</x:v>
      </x:c>
      <x:c r="B7" s="203" t="n">
        <x:v>56</x:v>
      </x:c>
      <x:c r="C7" s="155" t="str">
        <x:v>pennies / stag</x:v>
      </x:c>
      <x:c r="D7" s="161" t="str">
        <x:v>L1: roleplaying convention</x:v>
      </x:c>
    </x:row>
    <x:row r="8" ht="28" customHeight="1">
      <x:c r="A8" s="155" t="str">
        <x:v>Accounting year length</x:v>
      </x:c>
      <x:c r="B8" s="203" t="n">
        <x:v>365</x:v>
      </x:c>
      <x:c r="C8" s="155" t="str">
        <x:v>days</x:v>
      </x:c>
      <x:c r="D8" s="161" t="str">
        <x:v>M2: planning convention</x:v>
      </x:c>
    </x:row>
    <x:row r="9" ht="28" customHeight="1">
      <x:c r="A9" s="155" t="str">
        <x:v>Paid urban workdays per year</x:v>
      </x:c>
      <x:c r="B9" s="203" t="n">
        <x:v>250</x:v>
      </x:c>
      <x:c r="C9" s="155" t="str">
        <x:v>days</x:v>
      </x:c>
      <x:c r="D9" s="161" t="str">
        <x:v>U2 retained; not universal rural employment</x:v>
      </x:c>
    </x:row>
    <x:row r="10" ht="28" customHeight="1">
      <x:c r="A10" s="155" t="str">
        <x:v>Wheat bushel planning weight</x:v>
      </x:c>
      <x:c r="B10" s="203" t="n">
        <x:v>27</x:v>
      </x:c>
      <x:c r="C10" s="155" t="str">
        <x:v>kg / bushel</x:v>
      </x:c>
      <x:c r="D10" s="161" t="str">
        <x:v>M2: standardised cargo assumption; other grains differ</x:v>
      </x:c>
    </x:row>
    <x:row r="11" ht="28" customHeight="1">
      <x:c r="A11" s="155" t="str">
        <x:v>Cog cargo capacity</x:v>
      </x:c>
      <x:c r="B11" s="203" t="n">
        <x:v>150</x:v>
      </x:c>
      <x:c r="C11" s="155" t="str">
        <x:v>metric tonnes</x:v>
      </x:c>
      <x:c r="D11" s="161" t="str">
        <x:v>U2 adapted; usable capacity before losses</x:v>
      </x:c>
    </x:row>
    <x:row r="12" ht="28" customHeight="1">
      <x:c r="A12" s="155" t="str">
        <x:v>Round voyages per cog-year</x:v>
      </x:c>
      <x:c r="B12" s="203" t="n">
        <x:v>6</x:v>
      </x:c>
      <x:c r="C12" s="155" t="str">
        <x:v>voyages</x:v>
      </x:c>
      <x:c r="D12" s="161" t="str">
        <x:v>M2: illustrative route productivity, not universal</x:v>
      </x:c>
    </x:row>
    <x:row r="13" ht="28" customHeight="1">
      <x:c r="A13" s="155" t="str">
        <x:v>Public grain annual spoilage</x:v>
      </x:c>
      <x:c r="B13" s="203" t="n">
        <x:v>0.05</x:v>
      </x:c>
      <x:c r="C13" s="155" t="str">
        <x:v>fraction</x:v>
      </x:c>
      <x:c r="D13" s="161" t="str">
        <x:v>M2: planning assumption; adjust storage quality</x:v>
      </x:c>
    </x:row>
    <x:row r="14" ht="28" customHeight="1">
      <x:c r="A14" s="155" t="str">
        <x:v>Land freight</x:v>
      </x:c>
      <x:c r="B14" s="203" t="n">
        <x:v>0.0025</x:v>
      </x:c>
      <x:c r="C14" s="155" t="str">
        <x:v>G / tonne-mile</x:v>
      </x:c>
      <x:c r="D14" s="161" t="str">
        <x:v>M3: revised freight assumption; not a measured medieval tariff.</x:v>
      </x:c>
    </x:row>
    <x:row r="15" ht="28" customHeight="1">
      <x:c r="A15" s="155" t="str">
        <x:v>River freight</x:v>
      </x:c>
      <x:c r="B15" s="203" t="n">
        <x:v>0.0004</x:v>
      </x:c>
      <x:c r="C15" s="155" t="str">
        <x:v>G / tonne-mile</x:v>
      </x:c>
      <x:c r="D15" s="161" t="str">
        <x:v>M3: revised freight assumption; not a measured medieval tariff.</x:v>
      </x:c>
    </x:row>
    <x:row r="16" ht="28" customHeight="1">
      <x:c r="A16" s="155" t="str">
        <x:v>Sea freight</x:v>
      </x:c>
      <x:c r="B16" s="203" t="n">
        <x:v>0.00018</x:v>
      </x:c>
      <x:c r="C16" s="155" t="str">
        <x:v>G / tonne-mile</x:v>
      </x:c>
      <x:c r="D16" s="161" t="str">
        <x:v>M3: revised freight assumption; not a measured medieval tariff.</x:v>
      </x:c>
    </x:row>
    <x:row r="17" ht="28" customHeight="1">
      <x:c r="A17" s="155" t="str">
        <x:v>Revenue sensitivity low</x:v>
      </x:c>
      <x:c r="B17" s="203" t="n">
        <x:v>0.7</x:v>
      </x:c>
      <x:c r="C17" s="155" t="str">
        <x:v>multiplier</x:v>
      </x:c>
      <x:c r="D17" s="161" t="str">
        <x:v>M1: sensitivity interval, not statistical confidence</x:v>
      </x:c>
    </x:row>
    <x:row r="18" ht="28" customHeight="1">
      <x:c r="A18" s="155" t="str">
        <x:v>Revenue sensitivity high</x:v>
      </x:c>
      <x:c r="B18" s="203" t="n">
        <x:v>1.3</x:v>
      </x:c>
      <x:c r="C18" s="155" t="str">
        <x:v>multiplier</x:v>
      </x:c>
      <x:c r="D18" s="161" t="str">
        <x:v>M1: sensitivity interval</x:v>
      </x:c>
    </x:row>
    <x:row r="19" ht="28" customHeight="1">
      <x:c r="A19" s="155" t="str">
        <x:v>Treasury sensitivity low</x:v>
      </x:c>
      <x:c r="B19" s="203" t="n">
        <x:v>0.5</x:v>
      </x:c>
      <x:c r="C19" s="155" t="str">
        <x:v>multiplier</x:v>
      </x:c>
      <x:c r="D19" s="161" t="str">
        <x:v>M1: sensitivity interval</x:v>
      </x:c>
    </x:row>
    <x:row r="20" ht="28" customHeight="1">
      <x:c r="A20" s="155" t="str">
        <x:v>Treasury sensitivity high</x:v>
      </x:c>
      <x:c r="B20" s="203" t="n">
        <x:v>2</x:v>
      </x:c>
      <x:c r="C20" s="155" t="str">
        <x:v>multiplier</x:v>
      </x:c>
      <x:c r="D20" s="161" t="str">
        <x:v>M1: sensitivity interval</x:v>
      </x:c>
    </x:row>
    <x:row r="21" ht="28" customHeight="1">
      <x:c r="A21" s="128"/>
      <x:c r="B21" s="128"/>
      <x:c r="C21" s="128"/>
      <x:c r="D21" s="128"/>
    </x:row>
    <x:row r="22" ht="28" customHeight="1">
      <x:c r="A22" s="128"/>
      <x:c r="B22" s="128"/>
      <x:c r="C22" s="128"/>
      <x:c r="D22" s="128"/>
    </x:row>
    <x:row r="23" ht="28" customHeight="1">
      <x:c r="A23" s="128"/>
      <x:c r="B23" s="128"/>
      <x:c r="C23" s="128"/>
      <x:c r="D23" s="128"/>
    </x:row>
    <x:row r="24" ht="28" customHeight="1">
      <x:c r="A24" s="140" t="str">
        <x:v>Turn</x:v>
      </x:c>
      <x:c r="B24" s="140" t="str">
        <x:v>Land / feudal receipts share</x:v>
      </x:c>
      <x:c r="C24" s="140" t="str">
        <x:v>Crown remittance share</x:v>
      </x:c>
      <x:c r="D24" s="140" t="str">
        <x:v>Extraordinary spending share</x:v>
      </x:c>
    </x:row>
    <x:row r="25" ht="28" customHeight="1">
      <x:c r="A25" s="155" t="n">
        <x:v>1</x:v>
      </x:c>
      <x:c r="B25" s="171" t="n">
        <x:v>0.04</x:v>
      </x:c>
      <x:c r="C25" s="171" t="n">
        <x:v>0</x:v>
      </x:c>
      <x:c r="D25" s="171" t="n">
        <x:v>0.15</x:v>
      </x:c>
    </x:row>
    <x:row r="26" ht="28" customHeight="1">
      <x:c r="A26" s="155" t="n">
        <x:v>2</x:v>
      </x:c>
      <x:c r="B26" s="171" t="n">
        <x:v>0.04</x:v>
      </x:c>
      <x:c r="C26" s="171" t="n">
        <x:v>0</x:v>
      </x:c>
      <x:c r="D26" s="171" t="n">
        <x:v>0.15</x:v>
      </x:c>
    </x:row>
    <x:row r="27" ht="28" customHeight="1">
      <x:c r="A27" s="155" t="n">
        <x:v>3</x:v>
      </x:c>
      <x:c r="B27" s="171" t="n">
        <x:v>0.04</x:v>
      </x:c>
      <x:c r="C27" s="171" t="n">
        <x:v>0.25</x:v>
      </x:c>
      <x:c r="D27" s="171" t="n">
        <x:v>0.1</x:v>
      </x:c>
    </x:row>
    <x:row r="28" ht="28" customHeight="1">
      <x:c r="A28" s="155" t="n">
        <x:v>4</x:v>
      </x:c>
      <x:c r="B28" s="171" t="n">
        <x:v>0.04</x:v>
      </x:c>
      <x:c r="C28" s="171" t="n">
        <x:v>0</x:v>
      </x:c>
      <x:c r="D28" s="171" t="n">
        <x:v>0.1</x:v>
      </x:c>
    </x:row>
    <x:row r="29" ht="28" customHeight="1">
      <x:c r="A29" s="155" t="n">
        <x:v>5</x:v>
      </x:c>
      <x:c r="B29" s="171" t="n">
        <x:v>0.04</x:v>
      </x:c>
      <x:c r="C29" s="171" t="n">
        <x:v>0</x:v>
      </x:c>
      <x:c r="D29" s="171" t="n">
        <x:v>0.1</x:v>
      </x:c>
    </x:row>
    <x:row r="30" ht="28" customHeight="1">
      <x:c r="A30" s="155" t="n">
        <x:v>6</x:v>
      </x:c>
      <x:c r="B30" s="171" t="n">
        <x:v>0.1</x:v>
      </x:c>
      <x:c r="C30" s="171" t="n">
        <x:v>0.25</x:v>
      </x:c>
      <x:c r="D30" s="171" t="n">
        <x:v>0.1</x:v>
      </x:c>
    </x:row>
    <x:row r="31" ht="28" customHeight="1">
      <x:c r="A31" s="155" t="n">
        <x:v>7</x:v>
      </x:c>
      <x:c r="B31" s="171" t="n">
        <x:v>0.04</x:v>
      </x:c>
      <x:c r="C31" s="171" t="n">
        <x:v>0</x:v>
      </x:c>
      <x:c r="D31" s="171" t="n">
        <x:v>0.05</x:v>
      </x:c>
    </x:row>
    <x:row r="32" ht="28" customHeight="1">
      <x:c r="A32" s="155" t="n">
        <x:v>8</x:v>
      </x:c>
      <x:c r="B32" s="171" t="n">
        <x:v>0.04</x:v>
      </x:c>
      <x:c r="C32" s="171" t="n">
        <x:v>0</x:v>
      </x:c>
      <x:c r="D32" s="171" t="n">
        <x:v>0.05</x:v>
      </x:c>
    </x:row>
    <x:row r="33" ht="28" customHeight="1">
      <x:c r="A33" s="155" t="n">
        <x:v>9</x:v>
      </x:c>
      <x:c r="B33" s="171" t="n">
        <x:v>0.35</x:v>
      </x:c>
      <x:c r="C33" s="171" t="n">
        <x:v>0.25</x:v>
      </x:c>
      <x:c r="D33" s="171" t="n">
        <x:v>0.05</x:v>
      </x:c>
    </x:row>
    <x:row r="34" ht="28" customHeight="1">
      <x:c r="A34" s="155" t="n">
        <x:v>10</x:v>
      </x:c>
      <x:c r="B34" s="171" t="n">
        <x:v>0.15</x:v>
      </x:c>
      <x:c r="C34" s="171" t="n">
        <x:v>0</x:v>
      </x:c>
      <x:c r="D34" s="171" t="n">
        <x:v>0.05</x:v>
      </x:c>
    </x:row>
    <x:row r="35" ht="28" customHeight="1">
      <x:c r="A35" s="155" t="n">
        <x:v>11</x:v>
      </x:c>
      <x:c r="B35" s="171" t="n">
        <x:v>0.04</x:v>
      </x:c>
      <x:c r="C35" s="171" t="n">
        <x:v>0</x:v>
      </x:c>
      <x:c r="D35" s="171" t="n">
        <x:v>0.05</x:v>
      </x:c>
    </x:row>
    <x:row r="36" ht="28" customHeight="1">
      <x:c r="A36" s="155" t="n">
        <x:v>12</x:v>
      </x:c>
      <x:c r="B36" s="171" t="n">
        <x:v>0.08</x:v>
      </x:c>
      <x:c r="C36" s="171" t="n">
        <x:v>0.25</x:v>
      </x:c>
      <x:c r="D36" s="171" t="n">
        <x:v>0.05</x:v>
      </x:c>
    </x:row>
    <x:row r="37" ht="28" customHeight="1">
      <x:c r="A37" s="128"/>
      <x:c r="B37" s="128" t="n">
        <x:f>SUM(B25:B36)</x:f>
        <x:v>1</x:v>
      </x:c>
      <x:c r="C37" s="128" t="n">
        <x:f>SUM(C25:C36)</x:f>
        <x:v>1</x:v>
      </x:c>
      <x:c r="D37" s="128" t="n">
        <x:f>SUM(D25:D36)</x:f>
        <x:v>1.0000000000000002</x:v>
      </x:c>
    </x:row>
    <x:row r="38" ht="28" customHeight="1">
      <x:c r="A38" s="128"/>
      <x:c r="B38" s="128"/>
      <x:c r="C38" s="128"/>
      <x:c r="D38" s="128"/>
    </x:row>
    <x:row r="39" ht="22" customHeight="1">
      <x:c r="A39" s="128"/>
      <x:c r="B39" s="128"/>
      <x:c r="C39" s="128"/>
      <x:c r="D39" s="128"/>
    </x:row>
    <x:row r="40" ht="35" customHeight="1">
      <x:c r="A40" s="131" t="str">
        <x:v>Cash dates are turn conventions, not Westerosi month names or a claim that fantasy seasons follow a twelve-month Earth cycle.</x:v>
      </x:c>
      <x:c r="B40" s="131"/>
      <x:c r="C40" s="131"/>
      <x:c r="D40" s="131"/>
    </x:row>
    <x:row r="41" ht="22" customHeight="1">
      <x:c r="A41" s="128"/>
      <x:c r="B41" s="128"/>
      <x:c r="C41" s="128"/>
      <x:c r="D41" s="128"/>
    </x:row>
    <x:row r="42" ht="22" customHeight="1">
      <x:c r="A42" s="128"/>
      <x:c r="B42" s="128"/>
      <x:c r="C42" s="128"/>
      <x:c r="D42" s="128"/>
    </x:row>
    <x:row r="43" ht="22" customHeight="1">
      <x:c r="A43" s="16"/>
      <x:c r="B43" s="16"/>
      <x:c r="C43" s="16"/>
      <x:c r="D43" s="16"/>
    </x:row>
    <x:row r="44" ht="22" customHeight="1">
      <x:c r="A44" s="16"/>
      <x:c r="B44" s="16"/>
      <x:c r="C44" s="16"/>
      <x:c r="D44" s="16"/>
    </x:row>
    <x:row r="45" ht="22" customHeight="1">
      <x:c r="A45" s="16"/>
      <x:c r="B45" s="16"/>
      <x:c r="C45" s="16"/>
      <x:c r="D45" s="16"/>
    </x:row>
  </x:sheetData>
  <x:mergeCells>
    <x:mergeCell ref="A1:D1"/>
    <x:mergeCell ref="A40:D40"/>
  </x:mergeCells>
  <x:pageMargins left="0.7" right="0.7" top="0.75" bottom="0.75" header="0.3" footer="0.3"/>
  <x:legacyDrawing xmlns:r="http://schemas.openxmlformats.org/officeDocument/2006/relationships" r:id="R2fbb9365ec6e4d88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47" hidden="0" customWidth="1"/>
    <x:col min="4" max="4" width="66" hidden="0" customWidth="1"/>
    <x:col min="5" max="5" width="74" hidden="0" customWidth="1"/>
  </x:cols>
  <x:sheetData>
    <x:row r="1" ht="32" customHeight="1">
      <x:c r="A1" s="124" t="str">
        <x:v>Evidence register | sources are not numerical proof</x:v>
      </x:c>
      <x:c r="B1" s="124"/>
      <x:c r="C1" s="124"/>
      <x:c r="D1" s="124"/>
      <x:c r="E1" s="124"/>
    </x:row>
    <x:row r="2">
      <x:c r="A2" s="125"/>
      <x:c r="B2" s="125"/>
      <x:c r="C2" s="125"/>
      <x:c r="D2" s="125"/>
      <x:c r="E2" s="125"/>
    </x:row>
    <x:row r="3">
      <x:c r="A3" s="125"/>
      <x:c r="B3" s="125"/>
      <x:c r="C3" s="125"/>
      <x:c r="D3" s="125"/>
      <x:c r="E3" s="125"/>
    </x:row>
    <x:row r="4" ht="38" customHeight="1">
      <x:c r="A4" s="140" t="str">
        <x:v>ID</x:v>
      </x:c>
      <x:c r="B4" s="140" t="str">
        <x:v>Evidence class</x:v>
      </x:c>
      <x:c r="C4" s="140" t="str">
        <x:v>Source / title</x:v>
      </x:c>
      <x:c r="D4" s="140" t="str">
        <x:v>Location / URL</x:v>
      </x:c>
      <x:c r="E4" s="140" t="str">
        <x:v>Use and limitation</x:v>
      </x:c>
    </x:row>
    <x:row r="5" ht="75" customHeight="1">
      <x:c r="A5" s="167" t="str">
        <x:v>U1</x:v>
      </x:c>
      <x:c r="B5" s="167" t="str">
        <x:v>User source</x:v>
      </x:c>
      <x:c r="C5" s="167" t="str">
        <x:v>Westeros regional economics research.txt</x:v>
      </x:c>
      <x:c r="D5" s="167" t="str">
        <x:v>User attachment</x:v>
      </x:c>
      <x:c r="E5" s="167" t="str">
        <x:v>Regional framing and competing speculative estimates; do not treat numerical claims as canon.</x:v>
      </x:c>
    </x:row>
    <x:row r="6" ht="75" customHeight="1">
      <x:c r="A6" s="167" t="str">
        <x:v>U2</x:v>
      </x:c>
      <x:c r="B6" s="167" t="str">
        <x:v>User source</x:v>
      </x:c>
      <x:c r="C6" s="167" t="str">
        <x:v>WESTEROS_ECONOMIC_REFERENCE.md</x:v>
      </x:c>
      <x:c r="D6" s="167" t="str">
        <x:v>User attachment</x:v>
      </x:c>
      <x:c r="E6" s="167" t="str">
        <x:v>298 AC alternate simulation; DA = 1/30 G. Selected micro-prices retained and converted.</x:v>
      </x:c>
    </x:row>
    <x:row r="7" ht="75" customHeight="1">
      <x:c r="A7" s="167" t="str">
        <x:v>U3</x:v>
      </x:c>
      <x:c r="B7" s="167" t="str">
        <x:v>User source</x:v>
      </x:c>
      <x:c r="C7" s="167" t="str">
        <x:v>Comprehensive Economic Report for the Seven Kingdoms.docx</x:v>
      </x:c>
      <x:c r="D7" s="167" t="str">
        <x:v>User attachment</x:v>
      </x:c>
      <x:c r="E7" s="167" t="str">
        <x:v>270 AC alternate simulation; broad macro scale only, not verified chronology or audited accounts.</x:v>
      </x:c>
    </x:row>
    <x:row r="8" ht="75" customHeight="1">
      <x:c r="A8" s="167" t="str">
        <x:v>L0</x:v>
      </x:c>
      <x:c r="B8" s="167" t="str">
        <x:v>Lore reference</x:v>
      </x:c>
      <x:c r="C8" s="167" t="str">
        <x:v>Robert's Rebellion</x:v>
      </x:c>
      <x:c r="D8" s="167" t="str">
        <x:v>https://awoiaf.westeros.org/index.php/Robert%27s_Rebellion</x:v>
      </x:c>
      <x:c r="E8" s="167" t="str">
        <x:v>Secondary book-cited guide: 282–283 AC, battles and uneven geographic exposure.</x:v>
      </x:c>
    </x:row>
    <x:row r="9" ht="75" customHeight="1">
      <x:c r="A9" s="167" t="str">
        <x:v>L1</x:v>
      </x:c>
      <x:c r="B9" s="167" t="str">
        <x:v>Lore / RPG reference</x:v>
      </x:c>
      <x:c r="C9" s="167" t="str">
        <x:v>Currency</x:v>
      </x:c>
      <x:c r="D9" s="167" t="str">
        <x:v>https://awoiaf.westeros.org/index.php/Currency</x:v>
      </x:c>
      <x:c r="E9" s="167" t="str">
        <x:v>Coin ratios are roleplaying conventions; 298 debt is not 283 debt.</x:v>
      </x:c>
    </x:row>
    <x:row r="10" ht="75" customHeight="1">
      <x:c r="A10" s="167" t="str">
        <x:v>L2</x:v>
      </x:c>
      <x:c r="B10" s="167" t="str">
        <x:v>Lore reference</x:v>
      </x:c>
      <x:c r="C10" s="167" t="str">
        <x:v>Westerlands</x:v>
      </x:c>
      <x:c r="D10" s="167" t="str">
        <x:v>https://awoiaf.westeros.org/index.php/Westerlands</x:v>
      </x:c>
      <x:c r="E10" s="167" t="str">
        <x:v>Gold / silver and Lannister wealth; no canonical 283 financial statement.</x:v>
      </x:c>
    </x:row>
    <x:row r="11" ht="75" customHeight="1">
      <x:c r="A11" s="167" t="str">
        <x:v>L3</x:v>
      </x:c>
      <x:c r="B11" s="167" t="str">
        <x:v>Lore reference</x:v>
      </x:c>
      <x:c r="C11" s="167" t="str">
        <x:v>Reach</x:v>
      </x:c>
      <x:c r="D11" s="167" t="str">
        <x:v>https://awoiaf.westeros.org/index.php/Reach</x:v>
      </x:c>
      <x:c r="E11" s="167" t="str">
        <x:v>Fertility, Arbor wine, Oldtown and Highgarden.</x:v>
      </x:c>
    </x:row>
    <x:row r="12" ht="75" customHeight="1">
      <x:c r="A12" s="167" t="str">
        <x:v>L4</x:v>
      </x:c>
      <x:c r="B12" s="167" t="str">
        <x:v>Lore reference</x:v>
      </x:c>
      <x:c r="C12" s="167" t="str">
        <x:v>North</x:v>
      </x:c>
      <x:c r="D12" s="167" t="str">
        <x:v>https://awoiaf.westeros.org/index.php/North</x:v>
      </x:c>
      <x:c r="E12" s="167" t="str">
        <x:v>Timber, hides, wool, White Harbor; no invented 298 western ports in baseline.</x:v>
      </x:c>
    </x:row>
    <x:row r="13" ht="75" customHeight="1">
      <x:c r="A13" s="167" t="str">
        <x:v>L5</x:v>
      </x:c>
      <x:c r="B13" s="167" t="str">
        <x:v>Lore reference</x:v>
      </x:c>
      <x:c r="C13" s="167" t="str">
        <x:v>Vale of Arryn</x:v>
      </x:c>
      <x:c r="D13" s="167" t="str">
        <x:v>https://awoiaf.westeros.org/index.php/Vale_of_Arryn</x:v>
      </x:c>
      <x:c r="E13" s="167" t="str">
        <x:v>Fertile valleys, Gulltown, Wickenden; Gulltown saw fighting.</x:v>
      </x:c>
    </x:row>
    <x:row r="14" ht="75" customHeight="1">
      <x:c r="A14" s="167" t="str">
        <x:v>L6</x:v>
      </x:c>
      <x:c r="B14" s="167" t="str">
        <x:v>Lore reference</x:v>
      </x:c>
      <x:c r="C14" s="167" t="str">
        <x:v>Riverlands</x:v>
      </x:c>
      <x:c r="D14" s="167" t="str">
        <x:v>https://awoiaf.westeros.org/index.php/Riverlands</x:v>
      </x:c>
      <x:c r="E14" s="167" t="str">
        <x:v>Fertile river trade economy; Tully power does not equal ownership of every vassal's wealth.</x:v>
      </x:c>
    </x:row>
    <x:row r="15" ht="75" customHeight="1">
      <x:c r="A15" s="167" t="str">
        <x:v>L7</x:v>
      </x:c>
      <x:c r="B15" s="167" t="str">
        <x:v>Lore reference</x:v>
      </x:c>
      <x:c r="C15" s="167" t="str">
        <x:v>Stormlands</x:v>
      </x:c>
      <x:c r="D15" s="167" t="str">
        <x:v>https://awoiaf.westeros.org/index.php/Stormlands</x:v>
      </x:c>
      <x:c r="E15" s="167" t="str">
        <x:v>Forests, dispersed population, Weeping Town; not uniformly barren.</x:v>
      </x:c>
    </x:row>
    <x:row r="16" ht="75" customHeight="1">
      <x:c r="A16" s="167" t="str">
        <x:v>L8</x:v>
      </x:c>
      <x:c r="B16" s="167" t="str">
        <x:v>Lore reference</x:v>
      </x:c>
      <x:c r="C16" s="167" t="str">
        <x:v>Dorne</x:v>
      </x:c>
      <x:c r="D16" s="167" t="str">
        <x:v>https://awoiaf.westeros.org/index.php/Dorne</x:v>
      </x:c>
      <x:c r="E16" s="167" t="str">
        <x:v>Irrigated orchards, wine, olives, citrus, textiles and water constraints.</x:v>
      </x:c>
    </x:row>
    <x:row r="17" ht="75" customHeight="1">
      <x:c r="A17" s="167" t="str">
        <x:v>L9</x:v>
      </x:c>
      <x:c r="B17" s="167" t="str">
        <x:v>Lore reference</x:v>
      </x:c>
      <x:c r="C17" s="167" t="str">
        <x:v>Iron Islands</x:v>
      </x:c>
      <x:c r="D17" s="167" t="str">
        <x:v>https://awoiaf.westeros.org/index.php/Iron_Islands</x:v>
      </x:c>
      <x:c r="E17" s="167" t="str">
        <x:v>Fishing, ores, constrained farming; mines and farms exist despite Greyjoy words.</x:v>
      </x:c>
    </x:row>
    <x:row r="18" ht="75" customHeight="1">
      <x:c r="A18" s="167" t="str">
        <x:v>L10</x:v>
      </x:c>
      <x:c r="B18" s="167" t="str">
        <x:v>Lore reference</x:v>
      </x:c>
      <x:c r="C18" s="167" t="str">
        <x:v>Crownlands</x:v>
      </x:c>
      <x:c r="D18" s="167" t="str">
        <x:v>https://awoiaf.westeros.org/index.php/Crownlands</x:v>
      </x:c>
      <x:c r="E18" s="167" t="str">
        <x:v>King's Landing trade and crafts; Crown local receipts are not a second treasury.</x:v>
      </x:c>
    </x:row>
    <x:row r="19" ht="75" customHeight="1">
      <x:c r="A19" s="167" t="str">
        <x:v>L11</x:v>
      </x:c>
      <x:c r="B19" s="167" t="str">
        <x:v>Lore chronology</x:v>
      </x:c>
      <x:c r="C19" s="167" t="str">
        <x:v>Assault on Dragonstone</x:v>
      </x:c>
      <x:c r="D19" s="167" t="str">
        <x:v>https://awoiaf.westeros.org/index.php/Assault_on_Dragonstone</x:v>
      </x:c>
      <x:c r="E19" s="167" t="str">
        <x:v>284 AC operation; exclude its revenues from Robert's opening late-283 receipt base.</x:v>
      </x:c>
    </x:row>
    <x:row r="20" ht="75" customHeight="1">
      <x:c r="A20" s="167" t="str">
        <x:v>H1</x:v>
      </x:c>
      <x:c r="B20" s="167" t="str">
        <x:v>Primary historical text</x:v>
      </x:c>
      <x:c r="C20" s="167" t="str">
        <x:v>Magna Carta, 1215, translation</x:v>
      </x:c>
      <x:c r="D20" s="167" t="str">
        <x:v>https://sourcebooks.fordham.edu/source/magnacarta.asp</x:v>
      </x:c>
      <x:c r="E20" s="167" t="str">
        <x:v>Specific English evidence for reliefs, wardship, aids, scutage and negotiated limits; not universal feudal law.</x:v>
      </x:c>
    </x:row>
    <x:row r="21" ht="75" customHeight="1">
      <x:c r="A21" s="167" t="str">
        <x:v>H2</x:v>
      </x:c>
      <x:c r="B21" s="167" t="str">
        <x:v>Research by author</x:v>
      </x:c>
      <x:c r="C21" s="167" t="str">
        <x:v>Jordan Claridge, medieval agricultural wages, 2023</x:v>
      </x:c>
      <x:c r="D21" s="167" t="str">
        <x:v>https://www.lse.ac.uk/research/research-for-the-world/economics/its-not-just-about-the-money-a-reappraisal-of-medieval-english-agricultural-wages</x:v>
      </x:c>
      <x:c r="E21" s="167" t="str">
        <x:v>Cash and in-kind compensation must be separated; use local prices, not an assumed living-wage basket.</x:v>
      </x:c>
    </x:row>
    <x:row r="22" ht="75" customHeight="1">
      <x:c r="A22" s="167" t="str">
        <x:v>H3</x:v>
      </x:c>
      <x:c r="B22" s="167" t="str">
        <x:v>Original research</x:v>
      </x:c>
      <x:c r="C22" s="167" t="str">
        <x:v>Eric B. Schneider, Oxford working paper 90, 2011</x:v>
      </x:c>
      <x:c r="D22" s="167" t="str">
        <x:v>https://www.nuff.ox.ac.uk/economics/history/Paper90/schneider90.pdf</x:v>
      </x:c>
      <x:c r="E22" s="167" t="str">
        <x:v>49 Winchester manors, 1349–1370; weather and crop-specific yield response; no guaranteed instant yield reform.</x:v>
      </x:c>
    </x:row>
    <x:row r="23" ht="75" customHeight="1">
      <x:c r="A23" s="167" t="str">
        <x:v>H4</x:v>
      </x:c>
      <x:c r="B23" s="167" t="str">
        <x:v>Primary-record edition</x:v>
      </x:c>
      <x:c r="C23" s="167" t="str">
        <x:v>London Customs Accounts, Hanseatic History Association</x:v>
      </x:c>
      <x:c r="D23" s="167" t="str">
        <x:v>https://www.hansischergeschichtsverein.de/london-customs-accounts</x:v>
      </x:c>
      <x:c r="E23" s="167" t="str">
        <x:v>Edited c.1280–1550 merchant / customs accounts; model customs from transactions, collection and rights.</x:v>
      </x:c>
    </x:row>
    <x:row r="24" ht="75" customHeight="1">
      <x:c r="A24" s="167" t="str">
        <x:v>H5</x:v>
      </x:c>
      <x:c r="B24" s="167" t="str">
        <x:v>Original research</x:v>
      </x:c>
      <x:c r="C24" s="167" t="str">
        <x:v>Baker and Cohanier, bills of exchange, 2025</x:v>
      </x:c>
      <x:c r="D24" s="167" t="str">
        <x:v>https://journals.sagepub.com/doi/10.1177/10323732251331978</x:v>
      </x:c>
      <x:c r="E24" s="167" t="str">
        <x:v>Historical merchant credit and cashless settlement; abstract consulted, not a universal Westerosi banking system.</x:v>
      </x:c>
    </x:row>
    <x:row r="25" ht="75" customHeight="1">
      <x:c r="A25" s="167" t="str">
        <x:v>H6</x:v>
      </x:c>
      <x:c r="B25" s="167" t="str">
        <x:v>Research by author</x:v>
      </x:c>
      <x:c r="C25" s="167" t="str">
        <x:v>Spike Gibbs, manor courts, 2021</x:v>
      </x:c>
      <x:c r="D25" s="167" t="str">
        <x:v>https://www.lse.ac.uk/research/research-for-the-world/economics/lords-of-the-manor-feudal-law-and-its-impact-on-rural-village-life</x:v>
      </x:c>
      <x:c r="E25" s="167" t="str">
        <x:v>Institutions regulate resource access and disputes as well as extracting dues; communities are not passive tax counters.</x:v>
      </x:c>
    </x:row>
    <x:row r="26" ht="75" customHeight="1">
      <x:c r="A26" s="167" t="str">
        <x:v>H7</x:v>
      </x:c>
      <x:c r="B26" s="167" t="str">
        <x:v>Research institution</x:v>
      </x:c>
      <x:c r="C26" s="167" t="str">
        <x:v>Austrian Academy, historical irrigation workshop, 2023</x:v>
      </x:c>
      <x:c r="D26" s="167" t="str">
        <x:v>https://www.oeaw.ac.at/eurasian-transformations/projects/projects/events/workshops/early-medieval-irrigation-system-in-the-kathmandu-valley</x:v>
      </x:c>
      <x:c r="E26" s="167" t="str">
        <x:v>Comparative example of channels, water rights and administrative arrangements; not a direct estimate for Dorne.</x:v>
      </x:c>
    </x:row>
    <x:row r="27" ht="75" customHeight="1">
      <x:c r="A27" s="167" t="str">
        <x:v>M1</x:v>
      </x:c>
      <x:c r="B27" s="167" t="str">
        <x:v>New simulation assumption</x:v>
      </x:c>
      <x:c r="C27" s="167" t="str">
        <x:v>283 AC fiscal calibration</x:v>
      </x:c>
      <x:c r="D27" s="167" t="str">
        <x:v>New model, this deliverable</x:v>
      </x:c>
      <x:c r="E27" s="167" t="str">
        <x:v>All treasuries, incomes, expenditures, debt contracts, demographics, stock quantities and multipliers are authored parameters.</x:v>
      </x:c>
    </x:row>
    <x:row r="28" ht="75" customHeight="1">
      <x:c r="A28" s="167" t="str">
        <x:v>M2</x:v>
      </x:c>
      <x:c r="B28" s="167" t="str">
        <x:v>New simulation assumption</x:v>
      </x:c>
      <x:c r="C28" s="167" t="str">
        <x:v>Physical and operating conventions</x:v>
      </x:c>
      <x:c r="D28" s="167" t="str">
        <x:v>New model, this deliverable</x:v>
      </x:c>
      <x:c r="E28" s="167" t="str">
        <x:v>Cargo weights, voyage capacity, grain stocks, food baskets, service terms and project budgets are adjustable assumptions.</x:v>
      </x:c>
    </x:row>
    <x:row r="29" ht="75" customHeight="1">
      <x:c r="A29" s="167" t="str">
        <x:v>F1</x:v>
      </x:c>
      <x:c r="B29" s="167" t="str">
        <x:v>Fan estimate</x:v>
      </x:c>
      <x:c r="C29" s="167" t="str">
        <x:v>Steven Attewell: Estimates of Great House Incomes</x:v>
      </x:c>
      <x:c r="D29" s="167" t="str">
        <x:v>https://racefortheironthrone.wordpress.com/2016/08/17/x-posted-from-tumblr-estimates-of-great-house-incomes/</x:v>
      </x:c>
      <x:c r="E29" s="167" t="str">
        <x:v>Agreed scale; Tully 1m actual and 2m potential; Tyrell includes goods. Not canonical accounts.</x:v>
      </x:c>
    </x:row>
    <x:row r="30" ht="75" customHeight="1">
      <x:c r="A30" s="167" t="str">
        <x:v>F2</x:v>
      </x:c>
      <x:c r="B30" s="167" t="str">
        <x:v>Fan estimate</x:v>
      </x:c>
      <x:c r="C30" s="167" t="str">
        <x:v>Steven Attewell: northern income estimate</x:v>
      </x:c>
      <x:c r="D30" s="167" t="str">
        <x:v>https://racefortheironthrone.tumblr.com/post/149005655796/are-the-manderlys-richer-than-the-starks-what-are</x:v>
      </x:c>
      <x:c r="E30" s="167" t="str">
        <x:v>700,000 G selected in the preceding assessment and approved by the user. Conservative scenario, not canon.</x:v>
      </x:c>
    </x:row>
    <x:row r="31" ht="75" customHeight="1">
      <x:c r="A31" s="131" t="str">
        <x:v>F3</x:v>
      </x:c>
      <x:c r="B31" s="131" t="str">
        <x:v>Fan economic geography</x:v>
      </x:c>
      <x:c r="C31" s="131" t="str">
        <x:v>Atlas: An Economic Map of the Seven Kingdoms</x:v>
      </x:c>
      <x:c r="D31" s="131" t="str">
        <x:v>https://atlasoficeandfireblog.wordpress.com/2018/05/03/an-economic-map-of-the-seven-kingdoms/</x:v>
      </x:c>
      <x:c r="E31" s="131" t="str">
        <x:v>Resource and route framing only; no exact 283 treasury budgets.</x:v>
      </x:c>
    </x:row>
    <x:row r="32" ht="75" customHeight="1">
      <x:c r="A32" s="167" t="str">
        <x:v>M3</x:v>
      </x:c>
      <x:c r="B32" s="167" t="str">
        <x:v>v2 model choice</x:v>
      </x:c>
      <x:c r="C32" s="167" t="str">
        <x:v>Revised 283 AC cash-and-goods calibration</x:v>
      </x:c>
      <x:c r="D32" s="167" t="str">
        <x:v>This revised workbook and handbook</x:v>
      </x:c>
      <x:c r="E32" s="167" t="str">
        <x:v>Cash shares, starting assets, debt, spending, prices and tax-goods mixes are new assumptions. No blanket price multiplier.</x:v>
      </x:c>
    </x:row>
    <x:row r="33" ht="22" customHeight="1">
      <x:c r="A33" s="128"/>
      <x:c r="B33" s="128"/>
      <x:c r="C33" s="128"/>
      <x:c r="D33" s="128"/>
      <x:c r="E33" s="128"/>
    </x:row>
    <x:row r="34">
      <x:c r="A34" s="125"/>
      <x:c r="B34" s="125"/>
      <x:c r="C34" s="125"/>
      <x:c r="D34" s="125"/>
      <x:c r="E34" s="125"/>
    </x:row>
    <x:row r="35">
      <x:c r="A35" s="125"/>
      <x:c r="B35" s="125"/>
      <x:c r="C35" s="125"/>
      <x:c r="D35" s="125"/>
      <x:c r="E35" s="125"/>
    </x:row>
  </x:sheetData>
  <x:mergeCells>
    <x:mergeCell ref="A1:E1"/>
    <x:mergeCell ref="A31:E3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6" hidden="0" customWidth="1"/>
    <x:col min="3" max="3" width="73" hidden="0" customWidth="1"/>
  </x:cols>
  <x:sheetData>
    <x:row r="1" ht="32" customHeight="1">
      <x:c r="A1" s="124" t="str">
        <x:v>Integrity checks | zero difference and no red flags</x:v>
      </x:c>
      <x:c r="B1" s="124"/>
      <x:c r="C1" s="124"/>
    </x:row>
    <x:row r="2">
      <x:c r="A2" s="125"/>
      <x:c r="B2" s="125"/>
      <x:c r="C2" s="125"/>
    </x:row>
    <x:row r="3">
      <x:c r="A3" s="125"/>
      <x:c r="B3" s="125"/>
      <x:c r="C3" s="125"/>
    </x:row>
    <x:row r="4" ht="38" customHeight="1">
      <x:c r="A4" s="140" t="str">
        <x:v>Test</x:v>
      </x:c>
      <x:c r="B4" s="140" t="str">
        <x:v>Result</x:v>
      </x:c>
      <x:c r="C4" s="140" t="str">
        <x:v>Interpretation</x:v>
      </x:c>
    </x:row>
    <x:row r="5" ht="38" customHeight="1">
      <x:c r="A5" s="128" t="str">
        <x:v>Transfers eliminate</x:v>
      </x:c>
      <x:c r="B5" s="241" t="n">
        <x:f>SUM(Outlays!J5:J13)-Income!I13</x:f>
        <x:v>0</x:v>
      </x:c>
      <x:c r="C5" s="167" t="str">
        <x:v>Must be zero.</x:v>
      </x:c>
    </x:row>
    <x:row r="6" ht="38" customHeight="1">
      <x:c r="A6" s="128" t="str">
        <x:v>Consolidated cash bridge</x:v>
      </x:c>
      <x:c r="B6" s="241" t="n">
        <x:f>Dashboard!B20-SUM(Dashboard!E5:E13)</x:f>
        <x:v>0</x:v>
      </x:c>
      <x:c r="C6" s="167" t="str">
        <x:v>Must be zero.</x:v>
      </x:c>
    </x:row>
    <x:row r="7" ht="38" customHeight="1">
      <x:c r="A7" s="128" t="str">
        <x:v>Project expenditure total</x:v>
      </x:c>
      <x:c r="B7" s="241" t="n">
        <x:f>SUM(Projects!D5:D19)-SUM(Outlays!L5:L13)</x:f>
        <x:v>0</x:v>
      </x:c>
      <x:c r="C7" s="167" t="str">
        <x:v>Must be zero.</x:v>
      </x:c>
    </x:row>
    <x:row r="8" ht="38" customHeight="1">
      <x:c r="A8" s="128" t="str">
        <x:v>Seasonal receipt weights</x:v>
      </x:c>
      <x:c r="B8" s="241" t="n">
        <x:f>SUM(Settings!B25:B36)-1</x:f>
        <x:v>0</x:v>
      </x:c>
      <x:c r="C8" s="167" t="str">
        <x:v>Must be zero.</x:v>
      </x:c>
    </x:row>
    <x:row r="9" ht="38" customHeight="1">
      <x:c r="A9" s="128" t="str">
        <x:v>Transfer timing weights</x:v>
      </x:c>
      <x:c r="B9" s="241" t="n">
        <x:f>SUM(Settings!C25:C36)-1</x:f>
        <x:v>0</x:v>
      </x:c>
      <x:c r="C9" s="167" t="str">
        <x:v>Must be zero.</x:v>
      </x:c>
    </x:row>
    <x:row r="10" ht="38" customHeight="1">
      <x:c r="A10" s="128" t="str">
        <x:v>Extra spending weights</x:v>
      </x:c>
      <x:c r="B10" s="241" t="n">
        <x:f>SUM(Settings!D25:D36)-1</x:f>
        <x:v>2.220446049250313e-16</x:v>
      </x:c>
      <x:c r="C10" s="167" t="str">
        <x:v>Must be zero.</x:v>
      </x:c>
    </x:row>
    <x:row r="11" ht="38" customHeight="1">
      <x:c r="A11" s="128" t="str">
        <x:v>Negative monthly cash turns</x:v>
      </x:c>
      <x:c r="B11" s="241" t="n">
        <x:f>COUNTIF(Monthly!K5:K112,"&lt;0")</x:f>
        <x:v>0</x:v>
      </x:c>
      <x:c r="C11" s="167" t="str">
        <x:v>Zero in baseline; positive means unfunded turns.</x:v>
      </x:c>
    </x:row>
    <x:row r="12" ht="38" customHeight="1">
      <x:c r="A12" s="128" t="str">
        <x:v>Negative public grain stocks</x:v>
      </x:c>
      <x:c r="B12" s="241" t="n">
        <x:f>COUNTIF(Grain!O5:O13,"&lt;0")</x:f>
        <x:v>0</x:v>
      </x:c>
      <x:c r="C12" s="167" t="str">
        <x:v>Zero; releases cannot exceed owned usable stock.</x:v>
      </x:c>
    </x:row>
    <x:row r="13" ht="38" customHeight="1">
      <x:c r="A13" s="128" t="str">
        <x:v>Credit draws above facilities</x:v>
      </x:c>
      <x:c r="B13" s="241" t="n">
        <x:f>SUMPRODUCT(--(Debt!H5:H13&gt;Inputs!J5:J13))</x:f>
        <x:v>0</x:v>
      </x:c>
      <x:c r="C13" s="167" t="str">
        <x:v>Zero; larger borrowing needs a new negotiated facility.</x:v>
      </x:c>
    </x:row>
    <x:row r="14" ht="38" customHeight="1">
      <x:c r="A14" s="128" t="str">
        <x:v>Invalid Crown payment fractions</x:v>
      </x:c>
      <x:c r="B14" s="241" t="n">
        <x:f>COUNTIF(Transfers!F5:F12,"&gt;1")+COUNTIF(Transfers!F5:F12,"&lt;0")</x:f>
        <x:v>0</x:v>
      </x:c>
      <x:c r="C14" s="167" t="str">
        <x:v>Zero.</x:v>
      </x:c>
    </x:row>
    <x:row r="15" ht="38" customHeight="1">
      <x:c r="A15" s="128" t="str">
        <x:v>Invalid interest payment fractions</x:v>
      </x:c>
      <x:c r="B15" s="241" t="n">
        <x:f>COUNTIF(Debt!F5:F13,"&gt;1")+COUNTIF(Debt!F5:F13,"&lt;0")</x:f>
        <x:v>0</x:v>
      </x:c>
      <x:c r="C15" s="167" t="str">
        <x:v>Zero.</x:v>
      </x:c>
    </x:row>
    <x:row r="16" ht="38" customHeight="1">
      <x:c r="A16" s="128" t="str">
        <x:v>North annual/monthly bridge</x:v>
      </x:c>
      <x:c r="B16" s="241" t="n">
        <x:f>Monthly!K16-Dashboard!F5</x:f>
        <x:v>-5.820766091346741e-11</x:v>
      </x:c>
      <x:c r="C16" s="167" t="str">
        <x:v>Must be zero within rounding.</x:v>
      </x:c>
    </x:row>
    <x:row r="17" ht="38" customHeight="1">
      <x:c r="A17" s="128" t="str">
        <x:v>Vale annual/monthly bridge</x:v>
      </x:c>
      <x:c r="B17" s="241" t="n">
        <x:f>Monthly!K28-Dashboard!F6</x:f>
        <x:v>-9.313225746154785e-10</x:v>
      </x:c>
      <x:c r="C17" s="167" t="str">
        <x:v>Must be zero within rounding.</x:v>
      </x:c>
    </x:row>
    <x:row r="18" ht="38" customHeight="1">
      <x:c r="A18" s="128" t="str">
        <x:v>Riverlands annual/monthly bridge</x:v>
      </x:c>
      <x:c r="B18" s="241" t="n">
        <x:f>Monthly!K40-Dashboard!F7</x:f>
        <x:v>2.3283064365386963e-10</x:v>
      </x:c>
      <x:c r="C18" s="167" t="str">
        <x:v>Must be zero within rounding.</x:v>
      </x:c>
    </x:row>
    <x:row r="19" ht="38" customHeight="1">
      <x:c r="A19" s="128" t="str">
        <x:v>Westerlands annual/monthly bridge</x:v>
      </x:c>
      <x:c r="B19" s="241" t="n">
        <x:f>Monthly!K52-Dashboard!F8</x:f>
        <x:v>7.450580596923828e-9</x:v>
      </x:c>
      <x:c r="C19" s="167" t="str">
        <x:v>Must be zero within rounding.</x:v>
      </x:c>
    </x:row>
    <x:row r="20" ht="38" customHeight="1">
      <x:c r="A20" s="128" t="str">
        <x:v>Reach annual/monthly bridge</x:v>
      </x:c>
      <x:c r="B20" s="241" t="n">
        <x:f>Monthly!K64-Dashboard!F9</x:f>
        <x:v>0</x:v>
      </x:c>
      <x:c r="C20" s="167" t="str">
        <x:v>Must be zero within rounding.</x:v>
      </x:c>
    </x:row>
    <x:row r="21" ht="38" customHeight="1">
      <x:c r="A21" s="128" t="str">
        <x:v>Stormlands annual/monthly bridge</x:v>
      </x:c>
      <x:c r="B21" s="241" t="n">
        <x:f>Monthly!K76-Dashboard!F10</x:f>
        <x:v>-5.820766091346741e-11</x:v>
      </x:c>
      <x:c r="C21" s="167" t="str">
        <x:v>Must be zero within rounding.</x:v>
      </x:c>
    </x:row>
    <x:row r="22" ht="38" customHeight="1">
      <x:c r="A22" s="128" t="str">
        <x:v>Dorne annual/monthly bridge</x:v>
      </x:c>
      <x:c r="B22" s="241" t="n">
        <x:f>Monthly!K88-Dashboard!F11</x:f>
        <x:v>-1.1641532182693481e-10</x:v>
      </x:c>
      <x:c r="C22" s="167" t="str">
        <x:v>Must be zero within rounding.</x:v>
      </x:c>
    </x:row>
    <x:row r="23" ht="38" customHeight="1">
      <x:c r="A23" s="128" t="str">
        <x:v>Iron Islands annual/monthly bridge</x:v>
      </x:c>
      <x:c r="B23" s="241" t="n">
        <x:f>Monthly!K100-Dashboard!F12</x:f>
        <x:v>-1.1641532182693481e-10</x:v>
      </x:c>
      <x:c r="C23" s="167" t="str">
        <x:v>Must be zero within rounding.</x:v>
      </x:c>
    </x:row>
    <x:row r="24" ht="38" customHeight="1">
      <x:c r="A24" s="128" t="str">
        <x:v>Crownlands / Crown annual/monthly bridge</x:v>
      </x:c>
      <x:c r="B24" s="241" t="n">
        <x:f>Monthly!K112-Dashboard!F13</x:f>
        <x:v>4.656612873077393e-10</x:v>
      </x:c>
      <x:c r="C24" s="167" t="str">
        <x:v>Must be zero within rounding.</x:v>
      </x:c>
    </x:row>
    <x:row r="25" ht="38" customHeight="1">
      <x:c r="A25" s="128"/>
      <x:c r="B25" s="218"/>
      <x:c r="C25" s="167"/>
    </x:row>
    <x:row r="26" ht="38" customHeight="1">
      <x:c r="A26" s="128"/>
      <x:c r="B26" s="218"/>
      <x:c r="C26" s="167"/>
    </x:row>
    <x:row r="27" ht="38" customHeight="1">
      <x:c r="A27" s="128" t="str">
        <x:v>Negative goods quantities</x:v>
      </x:c>
      <x:c r="B27" s="218" t="n">
        <x:f>COUNTIF('Goods detail'!P5:P67,"&lt;0")</x:f>
        <x:v>0</x:v>
      </x:c>
      <x:c r="C27" s="167" t="str">
        <x:v>Zero; otherwise reduce planned use/sales or fund additional purchases.</x:v>
      </x:c>
    </x:row>
    <x:row r="28" ht="38" customHeight="1">
      <x:c r="A28" s="131" t="str">
        <x:v>Goods physical bridge</x:v>
      </x:c>
      <x:c r="B28" s="242" t="n">
        <x:f>SUM('Goods detail'!V5:V67)</x:f>
        <x:v>0</x:v>
      </x:c>
      <x:c r="C28" s="131" t="str">
        <x:v>Zero within rounding; tax receipts change ownership, not production.</x:v>
      </x:c>
    </x:row>
    <x:row r="29" ht="38" customHeight="1">
      <x:c r="A29" s="128" t="str">
        <x:v>Goods value bridge</x:v>
      </x:c>
      <x:c r="B29" s="218" t="n">
        <x:f>SUM(Goods!J5:J13)</x:f>
        <x:v>-2.473825588822365e-10</x:v>
      </x:c>
      <x:c r="C29" s="167" t="str">
        <x:v>Zero within rounding.</x:v>
      </x:c>
    </x:row>
    <x:row r="30" ht="38" customHeight="1">
      <x:c r="A30" s="131" t="str">
        <x:v>Cash source allocations</x:v>
      </x:c>
      <x:c r="B30" s="242" t="n">
        <x:f>SUM('Cash mix'!H5:H13)-9</x:f>
        <x:v>0</x:v>
      </x:c>
      <x:c r="C30" s="131" t="str">
        <x:v>Zero. Each region's cash-source shares must sum to one.</x:v>
      </x:c>
    </x:row>
    <x:row r="31" ht="38" customHeight="1">
      <x:c r="A31" s="128" t="str">
        <x:v>Goods receipt allocations</x:v>
      </x:c>
      <x:c r="B31" s="218" t="n">
        <x:f>SUM('Goods detail'!D5:D67)-9</x:f>
        <x:v>0</x:v>
      </x:c>
      <x:c r="C31" s="167" t="str">
        <x:v>Zero. Each region's goods mix must sum to one.</x:v>
      </x:c>
    </x:row>
    <x:row r="32" ht="38" customHeight="1">
      <x:c r="A32" s="128" t="str">
        <x:v>Invalid cash shares</x:v>
      </x:c>
      <x:c r="B32" s="218" t="n">
        <x:f>COUNTIF(Inputs!T5:T13,"&lt;0")+COUNTIF(Inputs!T5:T13,"&gt;1")</x:f>
        <x:v>0</x:v>
      </x:c>
      <x:c r="C32" s="167" t="str">
        <x:v>Zero.</x:v>
      </x:c>
    </x:row>
    <x:row r="33" ht="38" customHeight="1">
      <x:c r="A33" s="128" t="str">
        <x:v>Negative inventory sales</x:v>
      </x:c>
      <x:c r="B33" s="218" t="n">
        <x:f>COUNTIF('Goods detail'!L5:M67,"&lt;0")</x:f>
        <x:v>0</x:v>
      </x:c>
      <x:c r="C33" s="167" t="str">
        <x:v>Zero.</x:v>
      </x:c>
    </x:row>
    <x:row r="34" ht="38" customHeight="1">
      <x:c r="A34" s="128" t="str">
        <x:v>Income definition bridge</x:v>
      </x:c>
      <x:c r="B34" s="218" t="n">
        <x:f>SUM(Income!M5:M13)-SUM(Income!H5:I13)-SUM(Income!L5:L13)</x:f>
        <x:v>0</x:v>
      </x:c>
      <x:c r="C34" s="167" t="str">
        <x:v>Zero; sale of previously owned goods is not a second tax receipt.</x:v>
      </x:c>
    </x:row>
    <x:row r="35" ht="38" customHeight="1">
      <x:c r="A35" s="128" t="str">
        <x:v>North above Greyjoy, normal value</x:v>
      </x:c>
      <x:c r="B35" s="218" t="n">
        <x:f>IF(Inputs!S5&gt;Inputs!S12,0,1)</x:f>
        <x:v>0</x:v>
      </x:c>
      <x:c r="C35" s="167" t="str">
        <x:v>Zero in the approved baseline.</x:v>
      </x:c>
    </x:row>
    <x:row r="36" ht="38" customHeight="1">
      <x:c r="A36" s="128" t="str">
        <x:v>Regional Crown transfer bridge</x:v>
      </x:c>
      <x:c r="B36" s="218" t="n">
        <x:f>Income!I13-SUM(Outlays!J5:J12)</x:f>
        <x:v>0</x:v>
      </x:c>
      <x:c r="C36" s="167" t="str">
        <x:v>Zero.</x:v>
      </x:c>
    </x:row>
    <x:row r="37" ht="38" customHeight="1">
      <x:c r="A37" s="128" t="str">
        <x:v>Goods purchases included in cash</x:v>
      </x:c>
      <x:c r="B37" s="218" t="n">
        <x:f>SUM(Outlays!Q5:Q13)-SUM('Goods detail'!S5:S67)</x:f>
        <x:v>0</x:v>
      </x:c>
      <x:c r="C37" s="167" t="str">
        <x:v>Zero.</x:v>
      </x:c>
    </x:row>
    <x:row r="38" ht="38" customHeight="1">
      <x:c r="A38" s="128" t="str">
        <x:v>Goods sales included in cash</x:v>
      </x:c>
      <x:c r="B38" s="218" t="n">
        <x:f>SUM(Income!J5:J13)-SUM(Income!H5:I13)-SUM('Goods detail'!Q5:Q67)</x:f>
        <x:v>0</x:v>
      </x:c>
      <x:c r="C38" s="167" t="str">
        <x:v>Zero.</x:v>
      </x:c>
    </x:row>
    <x:row r="39" ht="28" customHeight="1">
      <x:c r="A39" s="128"/>
      <x:c r="B39" s="128"/>
      <x:c r="C39" s="128"/>
    </x:row>
    <x:row r="40" ht="28" customHeight="1">
      <x:c r="A40" s="125"/>
      <x:c r="B40" s="125"/>
      <x:c r="C40" s="125"/>
    </x:row>
    <x:row r="41" ht="28" customHeight="1">
      <x:c r="A41" s="125"/>
      <x:c r="B41" s="125"/>
      <x:c r="C41" s="125"/>
    </x:row>
    <x:row r="42" ht="28" customHeight="1">
      <x:c r="A42" s="125" t="str">
        <x:v>These tests verify the accounts. They do not verify canon, estimate every local estate or guarantee transport capacity.</x:v>
      </x:c>
      <x:c r="B42" s="125"/>
      <x:c r="C42" s="125"/>
    </x:row>
    <x:row r="43" ht="28" customHeight="1">
      <x:c r="A43" s="125"/>
      <x:c r="B43" s="125"/>
      <x:c r="C43" s="125"/>
    </x:row>
    <x:row r="44" ht="28" customHeight="1">
      <x:c r="A44" s="125"/>
      <x:c r="B44" s="125"/>
      <x:c r="C44" s="125"/>
    </x:row>
    <x:row r="45" ht="28" customHeight="1">
      <x:c r="A45" s="125"/>
      <x:c r="B45" s="125"/>
      <x:c r="C45" s="125"/>
    </x:row>
    <x:row r="46" ht="28" customHeight="1">
      <x:c r="A46" s="125"/>
      <x:c r="B46" s="125"/>
      <x:c r="C46" s="125"/>
    </x:row>
    <x:row r="47">
      <x:c r="A47" s="125"/>
      <x:c r="B47" s="125"/>
      <x:c r="C47" s="125"/>
    </x:row>
    <x:row r="48">
      <x:c r="A48" s="125"/>
      <x:c r="B48" s="125"/>
      <x:c r="C48" s="125"/>
    </x:row>
    <x:row r="49">
      <x:c r="A49" s="125"/>
      <x:c r="B49" s="125"/>
      <x:c r="C49" s="125"/>
    </x:row>
    <x:row r="50">
      <x:c r="A50" s="125"/>
      <x:c r="B50" s="125"/>
      <x:c r="C50" s="125"/>
    </x:row>
  </x:sheetData>
  <x:mergeCells>
    <x:mergeCell ref="A1:C1"/>
  </x:mergeCells>
  <x:conditionalFormatting sqref="B5:B24">
    <x:cfRule type="expression" dxfId="1" priority="1">
      <x:formula>ABS(B5)&gt;0.000001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4" hidden="0" customWidth="1"/>
  </x:cols>
  <x:sheetData>
    <x:row r="1" ht="29" customHeight="1">
      <x:c r="A1" s="224" t="str">
        <x:v>What changed in version 2</x:v>
      </x:c>
      <x:c r="B1" s="222"/>
      <x:c r="C1" s="222"/>
      <x:c r="D1" s="222"/>
      <x:c r="E1" s="222"/>
      <x:c r="F1" s="222"/>
    </x:row>
    <x:row r="2" ht="29" customHeight="1">
      <x:c r="A2" s="222"/>
      <x:c r="B2" s="222"/>
      <x:c r="C2" s="222"/>
      <x:c r="D2" s="222"/>
      <x:c r="E2" s="222"/>
      <x:c r="F2" s="222"/>
    </x:row>
    <x:row r="3" ht="29" customHeight="1">
      <x:c r="A3" s="222"/>
      <x:c r="B3" s="222"/>
      <x:c r="C3" s="222"/>
      <x:c r="D3" s="222"/>
      <x:c r="E3" s="222"/>
      <x:c r="F3" s="222"/>
    </x:row>
    <x:row r="4" ht="48" customHeight="1">
      <x:c r="A4" s="213" t="str">
        <x:v>Region</x:v>
      </x:c>
      <x:c r="B4" s="213" t="str">
        <x:v>Previous cash-income model G</x:v>
      </x:c>
      <x:c r="C4" s="213" t="str">
        <x:v>New normal income value G</x:v>
      </x:c>
      <x:c r="D4" s="213" t="str">
        <x:v>Cash share</x:v>
      </x:c>
      <x:c r="E4" s="213" t="str">
        <x:v>Direct cash G</x:v>
      </x:c>
      <x:c r="F4" s="213" t="str">
        <x:v>Authority / limitation</x:v>
      </x:c>
    </x:row>
    <x:row r="5" ht="29" customHeight="1">
      <x:c r="A5" s="222" t="str">
        <x:v>North</x:v>
      </x:c>
      <x:c r="B5" s="227" t="n">
        <x:v>55000</x:v>
      </x:c>
      <x:c r="C5" s="227" t="n">
        <x:v>700000</x:v>
      </x:c>
      <x:c r="D5" s="229" t="n">
        <x:v>0.4</x:v>
      </x:c>
      <x:c r="E5" s="227" t="n">
        <x:f>C5*D5</x:f>
        <x:v>280000</x:v>
      </x:c>
      <x:c r="F5" s="234" t="str">
        <x:v>User-approved F2</x:v>
      </x:c>
    </x:row>
    <x:row r="6" ht="29" customHeight="1">
      <x:c r="A6" s="222" t="str">
        <x:v>Vale</x:v>
      </x:c>
      <x:c r="B6" s="227" t="n">
        <x:v>100000</x:v>
      </x:c>
      <x:c r="C6" s="227" t="n">
        <x:v>2000000</x:v>
      </x:c>
      <x:c r="D6" s="229" t="n">
        <x:v>0.6</x:v>
      </x:c>
      <x:c r="E6" s="227" t="n">
        <x:f>C6*D6</x:f>
        <x:v>1200000</x:v>
      </x:c>
      <x:c r="F6" s="234" t="str">
        <x:v>User-approved F1; selected rounded figure</x:v>
      </x:c>
    </x:row>
    <x:row r="7" ht="29" customHeight="1">
      <x:c r="A7" s="222" t="str">
        <x:v>Riverlands</x:v>
      </x:c>
      <x:c r="B7" s="227" t="n">
        <x:v>75000</x:v>
      </x:c>
      <x:c r="C7" s="227" t="n">
        <x:v>1000000</x:v>
      </x:c>
      <x:c r="D7" s="229" t="n">
        <x:v>0.5</x:v>
      </x:c>
      <x:c r="E7" s="227" t="n">
        <x:f>C7*D7</x:f>
        <x:v>500000</x:v>
      </x:c>
      <x:c r="F7" s="234" t="str">
        <x:v>User-approved F1; selected rounded figure</x:v>
      </x:c>
    </x:row>
    <x:row r="8" ht="29" customHeight="1">
      <x:c r="A8" s="222" t="str">
        <x:v>Westerlands</x:v>
      </x:c>
      <x:c r="B8" s="227" t="n">
        <x:v>400000</x:v>
      </x:c>
      <x:c r="C8" s="227" t="n">
        <x:v>3800000</x:v>
      </x:c>
      <x:c r="D8" s="229" t="n">
        <x:v>0.9</x:v>
      </x:c>
      <x:c r="E8" s="227" t="n">
        <x:f>C8*D8</x:f>
        <x:v>3420000</x:v>
      </x:c>
      <x:c r="F8" s="234" t="str">
        <x:v>User-approved F1; selected rounded figure</x:v>
      </x:c>
    </x:row>
    <x:row r="9" ht="29" customHeight="1">
      <x:c r="A9" s="222" t="str">
        <x:v>Reach</x:v>
      </x:c>
      <x:c r="B9" s="227" t="n">
        <x:v>280000</x:v>
      </x:c>
      <x:c r="C9" s="227" t="n">
        <x:v>7800000</x:v>
      </x:c>
      <x:c r="D9" s="229" t="n">
        <x:v>0.35</x:v>
      </x:c>
      <x:c r="E9" s="227" t="n">
        <x:f>C9*D9</x:f>
        <x:v>2730000</x:v>
      </x:c>
      <x:c r="F9" s="234" t="str">
        <x:v>User-approved F1; selected rounded figure</x:v>
      </x:c>
    </x:row>
    <x:row r="10" ht="29" customHeight="1">
      <x:c r="A10" s="222" t="str">
        <x:v>Stormlands</x:v>
      </x:c>
      <x:c r="B10" s="227" t="n">
        <x:v>45000</x:v>
      </x:c>
      <x:c r="C10" s="227" t="n">
        <x:v>750000</x:v>
      </x:c>
      <x:c r="D10" s="229" t="n">
        <x:v>0.45</x:v>
      </x:c>
      <x:c r="E10" s="227" t="n">
        <x:f>C10*D10</x:f>
        <x:v>337500</x:v>
      </x:c>
      <x:c r="F10" s="234" t="str">
        <x:v>User-approved F1; selected rounded figure</x:v>
      </x:c>
    </x:row>
    <x:row r="11" ht="29" customHeight="1">
      <x:c r="A11" s="222" t="str">
        <x:v>Dorne</x:v>
      </x:c>
      <x:c r="B11" s="227" t="n">
        <x:v>70000</x:v>
      </x:c>
      <x:c r="C11" s="227" t="n">
        <x:v>1000000</x:v>
      </x:c>
      <x:c r="D11" s="229" t="n">
        <x:v>0.65</x:v>
      </x:c>
      <x:c r="E11" s="227" t="n">
        <x:f>C11*D11</x:f>
        <x:v>650000</x:v>
      </x:c>
      <x:c r="F11" s="234" t="str">
        <x:v>User-approved F1; selected rounded figure</x:v>
      </x:c>
    </x:row>
    <x:row r="12" ht="29" customHeight="1">
      <x:c r="A12" s="222" t="str">
        <x:v>Iron Islands</x:v>
      </x:c>
      <x:c r="B12" s="227" t="n">
        <x:v>20000</x:v>
      </x:c>
      <x:c r="C12" s="227" t="n">
        <x:v>450000</x:v>
      </x:c>
      <x:c r="D12" s="229" t="n">
        <x:v>0.6</x:v>
      </x:c>
      <x:c r="E12" s="227" t="n">
        <x:f>C12*D12</x:f>
        <x:v>270000</x:v>
      </x:c>
      <x:c r="F12" s="234" t="str">
        <x:v>User-approved F1; selected rounded figure</x:v>
      </x:c>
    </x:row>
    <x:row r="13" ht="29" customHeight="1">
      <x:c r="A13" s="222" t="str">
        <x:v>Crownlands / Crown</x:v>
      </x:c>
      <x:c r="B13" s="227" t="n">
        <x:v>220000</x:v>
      </x:c>
      <x:c r="C13" s="227" t="n">
        <x:v>1500000</x:v>
      </x:c>
      <x:c r="D13" s="229" t="n">
        <x:v>0.9</x:v>
      </x:c>
      <x:c r="E13" s="227" t="n">
        <x:f>C13*D13</x:f>
        <x:v>1350000</x:v>
      </x:c>
      <x:c r="F13" s="234" t="str">
        <x:v>M3: Crown own income, not supplied by F1</x:v>
      </x:c>
    </x:row>
    <x:row r="14" ht="29" customHeight="1">
      <x:c r="A14" s="222"/>
      <x:c r="B14" s="227"/>
      <x:c r="C14" s="227"/>
      <x:c r="D14" s="227"/>
      <x:c r="E14" s="227"/>
      <x:c r="F14" s="227"/>
    </x:row>
    <x:row r="15" ht="29" customHeight="1">
      <x:c r="A15" s="222"/>
      <x:c r="B15" s="227"/>
      <x:c r="C15" s="227"/>
      <x:c r="D15" s="227"/>
      <x:c r="E15" s="227"/>
      <x:c r="F15" s="227"/>
    </x:row>
    <x:row r="16" ht="29" customHeight="1">
      <x:c r="A16" s="222"/>
      <x:c r="B16" s="227"/>
      <x:c r="C16" s="227"/>
      <x:c r="D16" s="227"/>
      <x:c r="E16" s="227"/>
      <x:c r="F16" s="227"/>
    </x:row>
    <x:row r="17" ht="58" customHeight="1">
      <x:c r="A17" s="235" t="str">
        <x:v>Scope</x:v>
      </x:c>
      <x:c r="B17" s="234" t="str">
        <x:v>The old cash-only model is replaced by the agreed larger cash-plus-goods income scale.</x:v>
      </x:c>
      <x:c r="C17" s="234"/>
      <x:c r="D17" s="234"/>
      <x:c r="E17" s="234"/>
      <x:c r="F17" s="234"/>
    </x:row>
    <x:row r="18" ht="58" customHeight="1">
      <x:c r="A18" s="235" t="str">
        <x:v>What stayed</x:v>
      </x:c>
      <x:c r="B18" s="234" t="str">
        <x:v>Late 283 bookmark, all nine regions, regional account boundaries, physical grain/population settings, monthly timing and optional service rules.</x:v>
      </x:c>
      <x:c r="C18" s="234"/>
      <x:c r="D18" s="234"/>
      <x:c r="E18" s="234"/>
      <x:c r="F18" s="234"/>
    </x:row>
    <x:row r="19" ht="58" customHeight="1">
      <x:c r="A19" s="235" t="str">
        <x:v>What changed</x:v>
      </x:c>
      <x:c r="B19" s="234" t="str">
        <x:v>Opening cash, debt, ordinary spending, Crown transfers, project budgets and prices were separately calibrated and labelled M3.</x:v>
      </x:c>
      <x:c r="C19" s="234"/>
      <x:c r="D19" s="234"/>
      <x:c r="E19" s="234"/>
      <x:c r="F19" s="234"/>
    </x:row>
    <x:row r="20" ht="58" customHeight="1">
      <x:c r="A20" s="235" t="str">
        <x:v>North</x:v>
      </x:c>
      <x:c r="B20" s="234" t="str">
        <x:v>700,000 G total annual income; 280,000 G direct cash; 420,000 G tax goods. North stays above Greyjoy.</x:v>
      </x:c>
      <x:c r="C20" s="234"/>
      <x:c r="D20" s="234"/>
      <x:c r="E20" s="234"/>
      <x:c r="F20" s="234"/>
    </x:row>
    <x:row r="21" ht="58" customHeight="1">
      <x:c r="A21" s="235" t="str">
        <x:v>Tully</x:v>
      </x:c>
      <x:c r="B21" s="234" t="str">
        <x:v>1,000,000 G collected. 2,000,000 G potential. Potential does not automatically enter income.</x:v>
      </x:c>
      <x:c r="C21" s="234"/>
      <x:c r="D21" s="234"/>
      <x:c r="E21" s="234"/>
      <x:c r="F21" s="234"/>
    </x:row>
    <x:row r="22" ht="58" customHeight="1">
      <x:c r="A22" s="235" t="str">
        <x:v>Lannister</x:v>
      </x:c>
      <x:c r="B22" s="234" t="str">
        <x:v>3,800,000 G selected total. No unquantified extra Casterly Rock dividend is added on top.</x:v>
      </x:c>
      <x:c r="C22" s="234"/>
      <x:c r="D22" s="234"/>
      <x:c r="E22" s="234"/>
      <x:c r="F22" s="234"/>
    </x:row>
    <x:row r="23" ht="58" customHeight="1">
      <x:c r="A23" s="235" t="str">
        <x:v>Crown</x:v>
      </x:c>
      <x:c r="B23" s="234" t="str">
        <x:v>Separate from Storm's End. Own income 1,500,000 G plus regional payments; both are scenario settings.</x:v>
      </x:c>
      <x:c r="C23" s="234"/>
      <x:c r="D23" s="234"/>
      <x:c r="E23" s="234"/>
      <x:c r="F23" s="234"/>
    </x:row>
    <x:row r="24" ht="58" customHeight="1">
      <x:c r="A24" s="235" t="str">
        <x:v>Prices</x:v>
      </x:c>
      <x:c r="B24" s="234" t="str">
        <x:v>49 prices, revised by category. Old G prices retained in Prices J for comparison, not active use.</x:v>
      </x:c>
      <x:c r="C24" s="234"/>
      <x:c r="D24" s="234"/>
      <x:c r="E24" s="234"/>
      <x:c r="F24" s="234"/>
    </x:row>
    <x:row r="25" ht="58" customHeight="1">
      <x:c r="A25" s="235" t="str">
        <x:v>Goods</x:v>
      </x:c>
      <x:c r="B25" s="234" t="str">
        <x:v>Seven planning commodity baskets per region. Sales and purchases update cash; stocks update physically.</x:v>
      </x:c>
      <x:c r="C25" s="234"/>
      <x:c r="D25" s="234"/>
      <x:c r="E25" s="234"/>
      <x:c r="F25" s="234"/>
    </x:row>
    <x:row r="26" ht="58" customHeight="1">
      <x:c r="A26" s="235" t="str">
        <x:v>Reading</x:v>
      </x:c>
      <x:c r="B26" s="235" t="str">
        <x:v>Larger Arial type and spacing. Read the revised handbook's quick reference before its full chapters.</x:v>
      </x:c>
      <x:c r="C26" s="235"/>
      <x:c r="D26" s="235"/>
      <x:c r="E26" s="235"/>
      <x:c r="F26" s="235"/>
    </x:row>
    <x:row r="27" ht="29" customHeight="1">
      <x:c r="A27" s="222"/>
      <x:c r="B27" s="222"/>
      <x:c r="C27" s="222"/>
      <x:c r="D27" s="222"/>
      <x:c r="E27" s="222"/>
      <x:c r="F27" s="222"/>
    </x:row>
    <x:row r="28" ht="29" customHeight="1">
      <x:c r="A28" s="222"/>
      <x:c r="B28" s="222"/>
      <x:c r="C28" s="222"/>
      <x:c r="D28" s="222"/>
      <x:c r="E28" s="222"/>
      <x:c r="F28" s="222"/>
    </x:row>
    <x:row r="29" ht="29" customHeight="1">
      <x:c r="A29" s="222"/>
      <x:c r="B29" s="222"/>
      <x:c r="C29" s="222"/>
      <x:c r="D29" s="222"/>
      <x:c r="E29" s="222"/>
      <x:c r="F29" s="222"/>
    </x:row>
  </x:sheetData>
  <x:mergeCells>
    <x:mergeCell ref="B17:F17"/>
    <x:mergeCell ref="B18:F18"/>
    <x:mergeCell ref="B19:F19"/>
    <x:mergeCell ref="B20:F20"/>
    <x:mergeCell ref="B21:F21"/>
    <x:mergeCell ref="B22:F22"/>
    <x:mergeCell ref="B23:F23"/>
    <x:mergeCell ref="B24:F24"/>
    <x:mergeCell ref="B25:F25"/>
    <x:mergeCell ref="B26:F26"/>
    <x:mergeCell ref="A1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9" customHeight="1">
      <x:c r="A1" s="224" t="str">
        <x:v>Cash income: allocation assumptions</x:v>
      </x:c>
      <x:c r="B1" s="222"/>
      <x:c r="C1" s="222"/>
      <x:c r="D1" s="222"/>
      <x:c r="E1" s="222"/>
      <x:c r="F1" s="222"/>
      <x:c r="G1" s="222"/>
      <x:c r="H1" s="222"/>
    </x:row>
    <x:row r="2" ht="29" customHeight="1">
      <x:c r="A2" s="222"/>
      <x:c r="B2" s="222"/>
      <x:c r="C2" s="222"/>
      <x:c r="D2" s="222"/>
      <x:c r="E2" s="222"/>
      <x:c r="F2" s="222"/>
      <x:c r="G2" s="222"/>
      <x:c r="H2" s="222"/>
    </x:row>
    <x:row r="3" ht="29" customHeight="1">
      <x:c r="A3" s="222"/>
      <x:c r="B3" s="222"/>
      <x:c r="C3" s="222"/>
      <x:c r="D3" s="222"/>
      <x:c r="E3" s="222"/>
      <x:c r="F3" s="222"/>
      <x:c r="G3" s="222"/>
      <x:c r="H3" s="222"/>
    </x:row>
    <x:row r="4" ht="48" customHeight="1">
      <x:c r="A4" s="213" t="str">
        <x:v>Region</x:v>
      </x:c>
      <x:c r="B4" s="213" t="str">
        <x:v>Estates</x:v>
      </x:c>
      <x:c r="C4" s="213" t="str">
        <x:v>Vassal cash dues</x:v>
      </x:c>
      <x:c r="D4" s="213" t="str">
        <x:v>Customs</x:v>
      </x:c>
      <x:c r="E4" s="213" t="str">
        <x:v>Resource net receipts</x:v>
      </x:c>
      <x:c r="F4" s="213" t="str">
        <x:v>Towns / mills</x:v>
      </x:c>
      <x:c r="G4" s="213" t="str">
        <x:v>Justice / incidents</x:v>
      </x:c>
      <x:c r="H4" s="213" t="str">
        <x:v>Share total</x:v>
      </x:c>
    </x:row>
    <x:row r="5" ht="29" customHeight="1">
      <x:c r="A5" s="222" t="str">
        <x:v>North</x:v>
      </x:c>
      <x:c r="B5" s="228" t="n">
        <x:v>0.21818181818181817</x:v>
      </x:c>
      <x:c r="C5" s="228" t="n">
        <x:v>0.34545454545454546</x:v>
      </x:c>
      <x:c r="D5" s="228" t="n">
        <x:v>0.18181818181818182</x:v>
      </x:c>
      <x:c r="E5" s="228" t="n">
        <x:v>0.14545454545454545</x:v>
      </x:c>
      <x:c r="F5" s="228" t="n">
        <x:v>0.05454545454545454</x:v>
      </x:c>
      <x:c r="G5" s="228" t="n">
        <x:v>0.05454545454545454</x:v>
      </x:c>
      <x:c r="H5" s="228" t="n">
        <x:f>SUM(B5:G5)</x:f>
        <x:v>1</x:v>
      </x:c>
    </x:row>
    <x:row r="6" ht="29" customHeight="1">
      <x:c r="A6" s="222" t="str">
        <x:v>Vale</x:v>
      </x:c>
      <x:c r="B6" s="228" t="n">
        <x:v>0.25</x:v>
      </x:c>
      <x:c r="C6" s="228" t="n">
        <x:v>0.32</x:v>
      </x:c>
      <x:c r="D6" s="228" t="n">
        <x:v>0.25</x:v>
      </x:c>
      <x:c r="E6" s="228" t="n">
        <x:v>0.06</x:v>
      </x:c>
      <x:c r="F6" s="228" t="n">
        <x:v>0.07</x:v>
      </x:c>
      <x:c r="G6" s="228" t="n">
        <x:v>0.05</x:v>
      </x:c>
      <x:c r="H6" s="228" t="n">
        <x:f>SUM(B6:G6)</x:f>
        <x:v>1.0000000000000002</x:v>
      </x:c>
    </x:row>
    <x:row r="7" ht="29" customHeight="1">
      <x:c r="A7" s="222" t="str">
        <x:v>Riverlands</x:v>
      </x:c>
      <x:c r="B7" s="228" t="n">
        <x:v>0.24</x:v>
      </x:c>
      <x:c r="C7" s="228" t="n">
        <x:v>0.3333333333333333</x:v>
      </x:c>
      <x:c r="D7" s="228" t="n">
        <x:v>0.2</x:v>
      </x:c>
      <x:c r="E7" s="228" t="n">
        <x:v>0.06666666666666667</x:v>
      </x:c>
      <x:c r="F7" s="228" t="n">
        <x:v>0.09333333333333334</x:v>
      </x:c>
      <x:c r="G7" s="228" t="n">
        <x:v>0.06666666666666667</x:v>
      </x:c>
      <x:c r="H7" s="228" t="n">
        <x:f>SUM(B7:G7)</x:f>
        <x:v>0.9999999999999999</x:v>
      </x:c>
    </x:row>
    <x:row r="8" ht="29" customHeight="1">
      <x:c r="A8" s="222" t="str">
        <x:v>Westerlands</x:v>
      </x:c>
      <x:c r="B8" s="228" t="n">
        <x:v>0.0875</x:v>
      </x:c>
      <x:c r="C8" s="228" t="n">
        <x:v>0.1375</x:v>
      </x:c>
      <x:c r="D8" s="228" t="n">
        <x:v>0.1</x:v>
      </x:c>
      <x:c r="E8" s="228" t="n">
        <x:v>0.6125</x:v>
      </x:c>
      <x:c r="F8" s="228" t="n">
        <x:v>0.0375</x:v>
      </x:c>
      <x:c r="G8" s="228" t="n">
        <x:v>0.025</x:v>
      </x:c>
      <x:c r="H8" s="228" t="n">
        <x:f>SUM(B8:G8)</x:f>
        <x:v>1</x:v>
      </x:c>
    </x:row>
    <x:row r="9" ht="29" customHeight="1">
      <x:c r="A9" s="222" t="str">
        <x:v>Reach</x:v>
      </x:c>
      <x:c r="B9" s="228" t="n">
        <x:v>0.25</x:v>
      </x:c>
      <x:c r="C9" s="228" t="n">
        <x:v>0.35714285714285715</x:v>
      </x:c>
      <x:c r="D9" s="228" t="n">
        <x:v>0.21428571428571427</x:v>
      </x:c>
      <x:c r="E9" s="228" t="n">
        <x:v>0.03571428571428571</x:v>
      </x:c>
      <x:c r="F9" s="228" t="n">
        <x:v>0.08928571428571429</x:v>
      </x:c>
      <x:c r="G9" s="228" t="n">
        <x:v>0.05357142857142857</x:v>
      </x:c>
      <x:c r="H9" s="228" t="n">
        <x:f>SUM(B9:G9)</x:f>
        <x:v>1</x:v>
      </x:c>
    </x:row>
    <x:row r="10" ht="29" customHeight="1">
      <x:c r="A10" s="222" t="str">
        <x:v>Stormlands</x:v>
      </x:c>
      <x:c r="B10" s="228" t="n">
        <x:v>0.2</x:v>
      </x:c>
      <x:c r="C10" s="228" t="n">
        <x:v>0.3333333333333333</x:v>
      </x:c>
      <x:c r="D10" s="228" t="n">
        <x:v>0.1111111111111111</x:v>
      </x:c>
      <x:c r="E10" s="228" t="n">
        <x:v>0.2222222222222222</x:v>
      </x:c>
      <x:c r="F10" s="228" t="n">
        <x:v>0.06666666666666667</x:v>
      </x:c>
      <x:c r="G10" s="228" t="n">
        <x:v>0.06666666666666667</x:v>
      </x:c>
      <x:c r="H10" s="228" t="n">
        <x:f>SUM(B10:G10)</x:f>
        <x:v>0.9999999999999999</x:v>
      </x:c>
    </x:row>
    <x:row r="11" ht="29" customHeight="1">
      <x:c r="A11" s="222" t="str">
        <x:v>Dorne</x:v>
      </x:c>
      <x:c r="B11" s="228" t="n">
        <x:v>0.21428571428571427</x:v>
      </x:c>
      <x:c r="C11" s="228" t="n">
        <x:v>0.3142857142857143</x:v>
      </x:c>
      <x:c r="D11" s="228" t="n">
        <x:v>0.2571428571428571</x:v>
      </x:c>
      <x:c r="E11" s="228" t="n">
        <x:v>0.11428571428571428</x:v>
      </x:c>
      <x:c r="F11" s="228" t="n">
        <x:v>0.05714285714285714</x:v>
      </x:c>
      <x:c r="G11" s="228" t="n">
        <x:v>0.04285714285714286</x:v>
      </x:c>
      <x:c r="H11" s="228" t="n">
        <x:f>SUM(B11:G11)</x:f>
        <x:v>1</x:v>
      </x:c>
    </x:row>
    <x:row r="12" ht="29" customHeight="1">
      <x:c r="A12" s="222" t="str">
        <x:v>Iron Islands</x:v>
      </x:c>
      <x:c r="B12" s="228" t="n">
        <x:v>0.1</x:v>
      </x:c>
      <x:c r="C12" s="228" t="n">
        <x:v>0.2</x:v>
      </x:c>
      <x:c r="D12" s="228" t="n">
        <x:v>0.15</x:v>
      </x:c>
      <x:c r="E12" s="228" t="n">
        <x:v>0.4</x:v>
      </x:c>
      <x:c r="F12" s="228" t="n">
        <x:v>0.1</x:v>
      </x:c>
      <x:c r="G12" s="228" t="n">
        <x:v>0.05</x:v>
      </x:c>
      <x:c r="H12" s="228" t="n">
        <x:f>SUM(B12:G12)</x:f>
        <x:v>1</x:v>
      </x:c>
    </x:row>
    <x:row r="13" ht="29" customHeight="1">
      <x:c r="A13" s="222" t="str">
        <x:v>Crownlands / Crown</x:v>
      </x:c>
      <x:c r="B13" s="228" t="n">
        <x:v>0.20454545454545456</x:v>
      </x:c>
      <x:c r="C13" s="228" t="n">
        <x:v>0.09090909090909091</x:v>
      </x:c>
      <x:c r="D13" s="228" t="n">
        <x:v>0.45454545454545453</x:v>
      </x:c>
      <x:c r="E13" s="228" t="n">
        <x:v>0.045454545454545456</x:v>
      </x:c>
      <x:c r="F13" s="228" t="n">
        <x:v>0.13636363636363635</x:v>
      </x:c>
      <x:c r="G13" s="228" t="n">
        <x:v>0.06818181818181818</x:v>
      </x:c>
      <x:c r="H13" s="228" t="n">
        <x:f>SUM(B13:G13)</x:f>
        <x:v>1</x:v>
      </x:c>
    </x:row>
    <x:row r="14" ht="29" customHeight="1">
      <x:c r="A14" s="222"/>
      <x:c r="B14" s="222"/>
      <x:c r="C14" s="222"/>
      <x:c r="D14" s="222"/>
      <x:c r="E14" s="222"/>
      <x:c r="F14" s="222"/>
      <x:c r="G14" s="222"/>
      <x:c r="H14" s="222"/>
    </x:row>
    <x:row r="15" ht="29" customHeight="1">
      <x:c r="A15" s="222"/>
      <x:c r="B15" s="222"/>
      <x:c r="C15" s="222"/>
      <x:c r="D15" s="222"/>
      <x:c r="E15" s="222"/>
      <x:c r="F15" s="222"/>
      <x:c r="G15" s="222"/>
      <x:c r="H15" s="222"/>
    </x:row>
    <x:row r="16" ht="29" customHeight="1">
      <x:c r="A16" s="235" t="str">
        <x:v>M3: retained sector proportions from v1, applied only to the NEW direct cash amount. They are allocation assumptions, not independently researched revenue figures.</x:v>
      </x:c>
      <x:c r="B16" s="235"/>
      <x:c r="C16" s="235"/>
      <x:c r="D16" s="235"/>
      <x:c r="E16" s="235"/>
      <x:c r="F16" s="235"/>
      <x:c r="G16" s="235"/>
      <x:c r="H16" s="235"/>
    </x:row>
    <x:row r="17">
      <x:c r="A17" s="236"/>
      <x:c r="B17" s="236"/>
      <x:c r="C17" s="236"/>
      <x:c r="D17" s="236"/>
      <x:c r="E17" s="236"/>
      <x:c r="F17" s="236"/>
      <x:c r="G17" s="236"/>
      <x:c r="H17" s="236"/>
    </x:row>
  </x:sheetData>
  <x:mergeCells>
    <x:mergeCell ref="A1:H2"/>
    <x:mergeCell ref="A16:H17"/>
  </x:mergeCells>
  <x:pageMargins left="0.7" right="0.7" top="0.75" bottom="0.75" header="0.3" footer="0.3"/>
  <x:legacyDrawing xmlns:r="http://schemas.openxmlformats.org/officeDocument/2006/relationships" r:id="R229c0485324e4b91"/>
</x:worksheet>
</file>

<file path=xl/worksheets/sheet1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9" customHeight="1">
      <x:c r="A1" s="224" t="str">
        <x:v>Goods are useful wealth, not coins in the treasury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</x:row>
    <x:row r="2" ht="29" customHeight="1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</x:row>
    <x:row r="3" ht="29" customHeight="1">
      <x:c r="A3" s="222"/>
      <x:c r="B3" s="222"/>
      <x:c r="C3" s="222"/>
      <x:c r="D3" s="222"/>
      <x:c r="E3" s="222"/>
      <x:c r="F3" s="222"/>
      <x:c r="G3" s="222"/>
      <x:c r="H3" s="222"/>
      <x:c r="I3" s="222"/>
      <x:c r="J3" s="222"/>
      <x:c r="K3" s="222"/>
      <x:c r="L3" s="222"/>
    </x:row>
    <x:row r="4" ht="48" customHeight="1">
      <x:c r="A4" s="213" t="str">
        <x:v>Region</x:v>
      </x:c>
      <x:c r="B4" s="213" t="str">
        <x:v>Goods received G</x:v>
      </x:c>
      <x:c r="C4" s="213" t="str">
        <x:v>Planned-use fraction</x:v>
      </x:c>
      <x:c r="D4" s="213" t="str">
        <x:v>Opening goods value G</x:v>
      </x:c>
      <x:c r="E4" s="213" t="str">
        <x:v>Goods used G</x:v>
      </x:c>
      <x:c r="F4" s="213" t="str">
        <x:v>Losses G</x:v>
      </x:c>
      <x:c r="G4" s="213" t="str">
        <x:v>Sales cash G</x:v>
      </x:c>
      <x:c r="H4" s="213" t="str">
        <x:v>Purchases cash G</x:v>
      </x:c>
      <x:c r="I4" s="213" t="str">
        <x:v>Closing goods value G</x:v>
      </x:c>
      <x:c r="J4" s="213" t="str">
        <x:v>Opening / closing bridge G</x:v>
      </x:c>
      <x:c r="K4" s="213" t="str">
        <x:v>Total value received G</x:v>
      </x:c>
      <x:c r="L4" s="213" t="str">
        <x:v>Cash spending G</x:v>
      </x:c>
    </x:row>
    <x:row r="5" ht="29" customHeight="1">
      <x:c r="A5" s="222" t="str">
        <x:v>North</x:v>
      </x:c>
      <x:c r="B5" s="227" t="n">
        <x:f>SUM('Goods detail'!I5:I11)</x:f>
        <x:v>420000</x:v>
      </x:c>
      <x:c r="C5" s="230" t="n">
        <x:v>0.85</x:v>
      </x:c>
      <x:c r="D5" s="227" t="n">
        <x:f>SUMPRODUCT('Goods detail'!J5:J11,'Goods detail'!G5:G11)</x:f>
        <x:v>70260</x:v>
      </x:c>
      <x:c r="E5" s="227" t="n">
        <x:f>SUM('Goods detail'!R5:R11)</x:f>
        <x:v>357000</x:v>
      </x:c>
      <x:c r="F5" s="227" t="n">
        <x:f>SUM('Goods detail'!T5:T11)</x:f>
        <x:v>8349.3</x:v>
      </x:c>
      <x:c r="G5" s="227" t="n">
        <x:f>SUM('Goods detail'!Q5:Q11)</x:f>
        <x:v>0</x:v>
      </x:c>
      <x:c r="H5" s="227" t="n">
        <x:f>SUM('Goods detail'!S5:S11)</x:f>
        <x:v>0</x:v>
      </x:c>
      <x:c r="I5" s="227" t="n">
        <x:f>SUM('Goods detail'!U5:U11)</x:f>
        <x:v>124910.7</x:v>
      </x:c>
      <x:c r="J5" s="227" t="n">
        <x:f>D5+B5+H5-E5-F5-G5-I5</x:f>
        <x:v>0</x:v>
      </x:c>
      <x:c r="K5" s="227" t="n">
        <x:f>Income!M5</x:f>
        <x:v>700000</x:v>
      </x:c>
      <x:c r="L5" s="227" t="n">
        <x:f>Outlays!O5</x:f>
        <x:v>270000</x:v>
      </x:c>
    </x:row>
    <x:row r="6" ht="29" customHeight="1">
      <x:c r="A6" s="222" t="str">
        <x:v>Vale</x:v>
      </x:c>
      <x:c r="B6" s="227" t="n">
        <x:f>SUM('Goods detail'!I12:I18)</x:f>
        <x:v>800000</x:v>
      </x:c>
      <x:c r="C6" s="230" t="n">
        <x:v>0.85</x:v>
      </x:c>
      <x:c r="D6" s="227" t="n">
        <x:f>SUMPRODUCT('Goods detail'!J12:J18,'Goods detail'!G12:G18)</x:f>
        <x:v>79799.994</x:v>
      </x:c>
      <x:c r="E6" s="227" t="n">
        <x:f>SUM('Goods detail'!R12:R18)</x:f>
        <x:v>680000</x:v>
      </x:c>
      <x:c r="F6" s="227" t="n">
        <x:f>SUM('Goods detail'!T12:T18)</x:f>
        <x:v>16177.99994</x:v>
      </x:c>
      <x:c r="G6" s="227" t="n">
        <x:f>SUM('Goods detail'!Q12:Q18)</x:f>
        <x:v>0</x:v>
      </x:c>
      <x:c r="H6" s="227" t="n">
        <x:f>SUM('Goods detail'!S12:S18)</x:f>
        <x:v>0</x:v>
      </x:c>
      <x:c r="I6" s="227" t="n">
        <x:f>SUM('Goods detail'!U12:U18)</x:f>
        <x:v>183621.99406</x:v>
      </x:c>
      <x:c r="J6" s="227" t="n">
        <x:f>D6+B6+H6-E6-F6-G6-I6</x:f>
        <x:v>-5.820766091346741e-11</x:v>
      </x:c>
      <x:c r="K6" s="227" t="n">
        <x:f>Income!M6</x:f>
        <x:v>2000000</x:v>
      </x:c>
      <x:c r="L6" s="227" t="n">
        <x:f>Outlays!O6</x:f>
        <x:v>1021000</x:v>
      </x:c>
    </x:row>
    <x:row r="7" ht="29" customHeight="1">
      <x:c r="A7" s="222" t="str">
        <x:v>Riverlands</x:v>
      </x:c>
      <x:c r="B7" s="227" t="n">
        <x:f>SUM('Goods detail'!I19:I25)</x:f>
        <x:v>500000</x:v>
      </x:c>
      <x:c r="C7" s="230" t="n">
        <x:v>0.85</x:v>
      </x:c>
      <x:c r="D7" s="227" t="n">
        <x:f>SUMPRODUCT('Goods detail'!J19:J25,'Goods detail'!G19:G25)</x:f>
        <x:v>55500.006</x:v>
      </x:c>
      <x:c r="E7" s="227" t="n">
        <x:f>SUM('Goods detail'!R19:R25)</x:f>
        <x:v>425000</x:v>
      </x:c>
      <x:c r="F7" s="227" t="n">
        <x:f>SUM('Goods detail'!T19:T25)</x:f>
        <x:v>10826.50006</x:v>
      </x:c>
      <x:c r="G7" s="227" t="n">
        <x:f>SUM('Goods detail'!Q19:Q25)</x:f>
        <x:v>0</x:v>
      </x:c>
      <x:c r="H7" s="227" t="n">
        <x:f>SUM('Goods detail'!S19:S25)</x:f>
        <x:v>0</x:v>
      </x:c>
      <x:c r="I7" s="227" t="n">
        <x:f>SUM('Goods detail'!U19:U25)</x:f>
        <x:v>119673.50594</x:v>
      </x:c>
      <x:c r="J7" s="227" t="n">
        <x:f>D7+B7+H7-E7-F7-G7-I7</x:f>
        <x:v>4.3655745685100555e-11</x:v>
      </x:c>
      <x:c r="K7" s="227" t="n">
        <x:f>Income!M7</x:f>
        <x:v>1000000</x:v>
      </x:c>
      <x:c r="L7" s="227" t="n">
        <x:f>Outlays!O7</x:f>
        <x:v>549000</x:v>
      </x:c>
    </x:row>
    <x:row r="8" ht="29" customHeight="1">
      <x:c r="A8" s="222" t="str">
        <x:v>Westerlands</x:v>
      </x:c>
      <x:c r="B8" s="227" t="n">
        <x:f>SUM('Goods detail'!I26:I32)</x:f>
        <x:v>379999.99999999994</x:v>
      </x:c>
      <x:c r="C8" s="230" t="n">
        <x:v>0.85</x:v>
      </x:c>
      <x:c r="D8" s="227" t="n">
        <x:f>SUMPRODUCT('Goods detail'!J26:J32,'Goods detail'!G26:G32)</x:f>
        <x:v>67139.994</x:v>
      </x:c>
      <x:c r="E8" s="227" t="n">
        <x:f>SUM('Goods detail'!R26:R32)</x:f>
        <x:v>322999.99999999994</x:v>
      </x:c>
      <x:c r="F8" s="227" t="n">
        <x:f>SUM('Goods detail'!T26:T32)</x:f>
        <x:v>7909.399939999999</x:v>
      </x:c>
      <x:c r="G8" s="227" t="n">
        <x:f>SUM('Goods detail'!Q26:Q32)</x:f>
        <x:v>0</x:v>
      </x:c>
      <x:c r="H8" s="227" t="n">
        <x:f>SUM('Goods detail'!S26:S32)</x:f>
        <x:v>0</x:v>
      </x:c>
      <x:c r="I8" s="227" t="n">
        <x:f>SUM('Goods detail'!U26:U32)</x:f>
        <x:v>116230.59406</x:v>
      </x:c>
      <x:c r="J8" s="227" t="n">
        <x:f>D8+B8+H8-E8-F8-G8-I8</x:f>
        <x:v>0</x:v>
      </x:c>
      <x:c r="K8" s="227" t="n">
        <x:f>Income!M8</x:f>
        <x:v>3800000</x:v>
      </x:c>
      <x:c r="L8" s="227" t="n">
        <x:f>Outlays!O8</x:f>
        <x:v>2630000</x:v>
      </x:c>
    </x:row>
    <x:row r="9" ht="29" customHeight="1">
      <x:c r="A9" s="222" t="str">
        <x:v>Reach</x:v>
      </x:c>
      <x:c r="B9" s="227" t="n">
        <x:f>SUM('Goods detail'!I33:I39)</x:f>
        <x:v>5070000</x:v>
      </x:c>
      <x:c r="C9" s="230" t="n">
        <x:v>0.85</x:v>
      </x:c>
      <x:c r="D9" s="227" t="n">
        <x:f>SUMPRODUCT('Goods detail'!J33:J39,'Goods detail'!G33:G39)</x:f>
        <x:v>455040</x:v>
      </x:c>
      <x:c r="E9" s="227" t="n">
        <x:f>SUM('Goods detail'!R33:R39)</x:f>
        <x:v>4309500</x:v>
      </x:c>
      <x:c r="F9" s="227" t="n">
        <x:f>SUM('Goods detail'!T33:T39)</x:f>
        <x:v>108166.29</x:v>
      </x:c>
      <x:c r="G9" s="227" t="n">
        <x:f>SUM('Goods detail'!Q33:Q39)</x:f>
        <x:v>0</x:v>
      </x:c>
      <x:c r="H9" s="227" t="n">
        <x:f>SUM('Goods detail'!S33:S39)</x:f>
        <x:v>0</x:v>
      </x:c>
      <x:c r="I9" s="227" t="n">
        <x:f>SUM('Goods detail'!U33:U39)</x:f>
        <x:v>1107373.7100000002</x:v>
      </x:c>
      <x:c r="J9" s="227" t="n">
        <x:f>D9+B9+H9-E9-F9-G9-I9</x:f>
        <x:v>-2.3283064365386963e-10</x:v>
      </x:c>
      <x:c r="K9" s="227" t="n">
        <x:f>Income!M9</x:f>
        <x:v>7800000</x:v>
      </x:c>
      <x:c r="L9" s="227" t="n">
        <x:f>Outlays!O9</x:f>
        <x:v>2592000</x:v>
      </x:c>
    </x:row>
    <x:row r="10" ht="29" customHeight="1">
      <x:c r="A10" s="222" t="str">
        <x:v>Stormlands</x:v>
      </x:c>
      <x:c r="B10" s="227" t="n">
        <x:f>SUM('Goods detail'!I40:I46)</x:f>
        <x:v>412500</x:v>
      </x:c>
      <x:c r="C10" s="230" t="n">
        <x:v>0.85</x:v>
      </x:c>
      <x:c r="D10" s="227" t="n">
        <x:f>SUMPRODUCT('Goods detail'!J40:J46,'Goods detail'!G40:G46)</x:f>
        <x:v>43649.96</x:v>
      </x:c>
      <x:c r="E10" s="227" t="n">
        <x:f>SUM('Goods detail'!R40:R46)</x:f>
        <x:v>350625</x:v>
      </x:c>
      <x:c r="F10" s="227" t="n">
        <x:f>SUM('Goods detail'!T40:T46)</x:f>
        <x:v>7034.7367</x:v>
      </x:c>
      <x:c r="G10" s="227" t="n">
        <x:f>SUM('Goods detail'!Q40:Q46)</x:f>
        <x:v>0</x:v>
      </x:c>
      <x:c r="H10" s="227" t="n">
        <x:f>SUM('Goods detail'!S40:S46)</x:f>
        <x:v>0</x:v>
      </x:c>
      <x:c r="I10" s="227" t="n">
        <x:f>SUM('Goods detail'!U40:U46)</x:f>
        <x:v>98490.2233</x:v>
      </x:c>
      <x:c r="J10" s="227" t="n">
        <x:f>D10+B10+H10-E10-F10-G10-I10</x:f>
        <x:v>2.9103830456733704e-11</x:v>
      </x:c>
      <x:c r="K10" s="227" t="n">
        <x:f>Income!M10</x:f>
        <x:v>750000</x:v>
      </x:c>
      <x:c r="L10" s="227" t="n">
        <x:f>Outlays!O10</x:f>
        <x:v>383000</x:v>
      </x:c>
    </x:row>
    <x:row r="11" ht="29" customHeight="1">
      <x:c r="A11" s="222" t="str">
        <x:v>Dorne</x:v>
      </x:c>
      <x:c r="B11" s="227" t="n">
        <x:f>SUM('Goods detail'!I47:I53)</x:f>
        <x:v>350000</x:v>
      </x:c>
      <x:c r="C11" s="230" t="n">
        <x:v>0.85</x:v>
      </x:c>
      <x:c r="D11" s="227" t="n">
        <x:f>SUMPRODUCT('Goods detail'!J47:J53,'Goods detail'!G47:G53)</x:f>
        <x:v>56700</x:v>
      </x:c>
      <x:c r="E11" s="227" t="n">
        <x:f>SUM('Goods detail'!R47:R53)</x:f>
        <x:v>297500</x:v>
      </x:c>
      <x:c r="F11" s="227" t="n">
        <x:f>SUM('Goods detail'!T47:T53)</x:f>
        <x:v>7765.8</x:v>
      </x:c>
      <x:c r="G11" s="227" t="n">
        <x:f>SUM('Goods detail'!Q47:Q53)</x:f>
        <x:v>0</x:v>
      </x:c>
      <x:c r="H11" s="227" t="n">
        <x:f>SUM('Goods detail'!S47:S53)</x:f>
        <x:v>0</x:v>
      </x:c>
      <x:c r="I11" s="227" t="n">
        <x:f>SUM('Goods detail'!U47:U53)</x:f>
        <x:v>101434.2</x:v>
      </x:c>
      <x:c r="J11" s="227" t="n">
        <x:f>D11+B11+H11-E11-F11-G11-I11</x:f>
        <x:v>0</x:v>
      </x:c>
      <x:c r="K11" s="227" t="n">
        <x:f>Income!M11</x:f>
        <x:v>1000000</x:v>
      </x:c>
      <x:c r="L11" s="227" t="n">
        <x:f>Outlays!O11</x:f>
        <x:v>621000</x:v>
      </x:c>
    </x:row>
    <x:row r="12" ht="29" customHeight="1">
      <x:c r="A12" s="222" t="str">
        <x:v>Iron Islands</x:v>
      </x:c>
      <x:c r="B12" s="227" t="n">
        <x:f>SUM('Goods detail'!I54:I60)</x:f>
        <x:v>180000</x:v>
      </x:c>
      <x:c r="C12" s="230" t="n">
        <x:v>0.85</x:v>
      </x:c>
      <x:c r="D12" s="227" t="n">
        <x:f>SUMPRODUCT('Goods detail'!J54:J60,'Goods detail'!G54:G60)</x:f>
        <x:v>28440</x:v>
      </x:c>
      <x:c r="E12" s="227" t="n">
        <x:f>SUM('Goods detail'!R54:R60)</x:f>
        <x:v>153000</x:v>
      </x:c>
      <x:c r="F12" s="227" t="n">
        <x:f>SUM('Goods detail'!T54:T60)</x:f>
        <x:v>3171.06</x:v>
      </x:c>
      <x:c r="G12" s="227" t="n">
        <x:f>SUM('Goods detail'!Q54:Q60)</x:f>
        <x:v>0</x:v>
      </x:c>
      <x:c r="H12" s="227" t="n">
        <x:f>SUM('Goods detail'!S54:S60)</x:f>
        <x:v>0</x:v>
      </x:c>
      <x:c r="I12" s="227" t="n">
        <x:f>SUM('Goods detail'!U54:U60)</x:f>
        <x:v>52268.94</x:v>
      </x:c>
      <x:c r="J12" s="227" t="n">
        <x:f>D12+B12+H12-E12-F12-G12-I12</x:f>
        <x:v>0</x:v>
      </x:c>
      <x:c r="K12" s="227" t="n">
        <x:f>Income!M12</x:f>
        <x:v>450000</x:v>
      </x:c>
      <x:c r="L12" s="227" t="n">
        <x:f>Outlays!O12</x:f>
        <x:v>288000</x:v>
      </x:c>
    </x:row>
    <x:row r="13" ht="29" customHeight="1">
      <x:c r="A13" s="222" t="str">
        <x:v>Crownlands / Crown</x:v>
      </x:c>
      <x:c r="B13" s="227" t="n">
        <x:f>SUM('Goods detail'!I61:I67)</x:f>
        <x:v>149999.99999999997</x:v>
      </x:c>
      <x:c r="C13" s="230" t="n">
        <x:v>0.85</x:v>
      </x:c>
      <x:c r="D13" s="227" t="n">
        <x:f>SUMPRODUCT('Goods detail'!J61:J67,'Goods detail'!G61:G67)</x:f>
        <x:v>55800</x:v>
      </x:c>
      <x:c r="E13" s="227" t="n">
        <x:f>SUM('Goods detail'!R61:R67)</x:f>
        <x:v>127499.99999999999</x:v>
      </x:c>
      <x:c r="F13" s="227" t="n">
        <x:f>SUM('Goods detail'!T61:T67)</x:f>
        <x:v>5028.75</x:v>
      </x:c>
      <x:c r="G13" s="227" t="n">
        <x:f>SUM('Goods detail'!Q61:Q67)</x:f>
        <x:v>0</x:v>
      </x:c>
      <x:c r="H13" s="227" t="n">
        <x:f>SUM('Goods detail'!S61:S67)</x:f>
        <x:v>0</x:v>
      </x:c>
      <x:c r="I13" s="227" t="n">
        <x:f>SUM('Goods detail'!U61:U67)</x:f>
        <x:v>73271.25000000001</x:v>
      </x:c>
      <x:c r="J13" s="227" t="n">
        <x:f>D13+B13+H13-E13-F13-G13-I13</x:f>
        <x:v>-2.9103830456733704e-11</x:v>
      </x:c>
      <x:c r="K13" s="227" t="n">
        <x:f>Income!M13</x:f>
        <x:v>2330000</x:v>
      </x:c>
      <x:c r="L13" s="227" t="n">
        <x:f>Outlays!O13</x:f>
        <x:v>2120000</x:v>
      </x:c>
    </x:row>
    <x:row r="14" ht="29" customHeight="1">
      <x:c r="A14" s="222"/>
      <x:c r="B14" s="227"/>
      <x:c r="C14" s="227"/>
      <x:c r="D14" s="227"/>
      <x:c r="E14" s="227"/>
      <x:c r="F14" s="227"/>
      <x:c r="G14" s="227"/>
      <x:c r="H14" s="227"/>
      <x:c r="I14" s="227"/>
      <x:c r="J14" s="227"/>
      <x:c r="K14" s="227"/>
      <x:c r="L14" s="227"/>
    </x:row>
    <x:row r="15" ht="29" customHeight="1">
      <x:c r="A15" s="222"/>
      <x:c r="B15" s="227"/>
      <x:c r="C15" s="227"/>
      <x:c r="D15" s="227"/>
      <x:c r="E15" s="227"/>
      <x:c r="F15" s="227"/>
      <x:c r="G15" s="227"/>
      <x:c r="H15" s="227"/>
      <x:c r="I15" s="227"/>
      <x:c r="J15" s="227"/>
      <x:c r="K15" s="227"/>
      <x:c r="L15" s="227"/>
    </x:row>
    <x:row r="16" ht="29" customHeight="1">
      <x:c r="A16" s="235" t="str">
        <x:v>Annual income = cash taxes + goods taxes + received Crown payments. Goods sales convert existing wealth into cash and are not counted as new income.</x:v>
      </x:c>
      <x:c r="B16" s="234"/>
      <x:c r="C16" s="234"/>
      <x:c r="D16" s="234"/>
      <x:c r="E16" s="234"/>
      <x:c r="F16" s="234"/>
      <x:c r="G16" s="234"/>
      <x:c r="H16" s="234"/>
      <x:c r="I16" s="227"/>
      <x:c r="J16" s="227"/>
      <x:c r="K16" s="227"/>
      <x:c r="L16" s="227"/>
    </x:row>
    <x:row r="17" ht="29" customHeight="1">
      <x:c r="A17" s="235"/>
      <x:c r="B17" s="234"/>
      <x:c r="C17" s="234"/>
      <x:c r="D17" s="234"/>
      <x:c r="E17" s="234"/>
      <x:c r="F17" s="234"/>
      <x:c r="G17" s="234"/>
      <x:c r="H17" s="234"/>
      <x:c r="I17" s="227"/>
      <x:c r="J17" s="227"/>
      <x:c r="K17" s="227"/>
      <x:c r="L17" s="227"/>
    </x:row>
    <x:row r="18" ht="29" customHeight="1">
      <x:c r="A18" s="235" t="str">
        <x:v>Own use covers allocations to the household, garrisons, relief, vassal services and works. Exact recipients need local subledgers; quantities are model assumptions.</x:v>
      </x:c>
      <x:c r="B18" s="234"/>
      <x:c r="C18" s="234"/>
      <x:c r="D18" s="234"/>
      <x:c r="E18" s="234"/>
      <x:c r="F18" s="234"/>
      <x:c r="G18" s="234"/>
      <x:c r="H18" s="234"/>
      <x:c r="I18" s="227"/>
      <x:c r="J18" s="227"/>
      <x:c r="K18" s="227"/>
      <x:c r="L18" s="227"/>
    </x:row>
    <x:row r="19" ht="29" customHeight="1">
      <x:c r="A19" s="235"/>
      <x:c r="B19" s="235"/>
      <x:c r="C19" s="235"/>
      <x:c r="D19" s="235"/>
      <x:c r="E19" s="235"/>
      <x:c r="F19" s="235"/>
      <x:c r="G19" s="235"/>
      <x:c r="H19" s="235"/>
      <x:c r="I19" s="222"/>
      <x:c r="J19" s="222"/>
      <x:c r="K19" s="222"/>
      <x:c r="L19" s="222"/>
    </x:row>
    <x:row r="20" ht="29" customHeight="1">
      <x:c r="A20" s="235" t="str">
        <x:v>Grain! calculates regional food sufficiency, including private food. Taxing local grain changes ownership, not regional production: never add tax grain to harvest.</x:v>
      </x:c>
      <x:c r="B20" s="235"/>
      <x:c r="C20" s="235"/>
      <x:c r="D20" s="235"/>
      <x:c r="E20" s="235"/>
      <x:c r="F20" s="235"/>
      <x:c r="G20" s="235"/>
      <x:c r="H20" s="235"/>
      <x:c r="I20" s="222"/>
      <x:c r="J20" s="222"/>
      <x:c r="K20" s="222"/>
      <x:c r="L20" s="222"/>
    </x:row>
    <x:row r="21" ht="29" customHeight="1">
      <x:c r="A21" s="235"/>
      <x:c r="B21" s="235"/>
      <x:c r="C21" s="235"/>
      <x:c r="D21" s="235"/>
      <x:c r="E21" s="235"/>
      <x:c r="F21" s="235"/>
      <x:c r="G21" s="235"/>
      <x:c r="H21" s="235"/>
      <x:c r="I21" s="222"/>
      <x:c r="J21" s="222"/>
      <x:c r="K21" s="222"/>
      <x:c r="L21" s="222"/>
    </x:row>
    <x:row r="22" ht="29" customHeight="1">
      <x:c r="A22" s="222"/>
      <x:c r="B22" s="222"/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</x:row>
  </x:sheetData>
  <x:mergeCells>
    <x:mergeCell ref="A1:H2"/>
    <x:mergeCell ref="A16:H17"/>
    <x:mergeCell ref="A18:H19"/>
    <x:mergeCell ref="A20:H21"/>
  </x:mergeCells>
  <x:pageMargins left="0.7" right="0.7" top="0.75" bottom="0.75" header="0.3" footer="0.3"/>
  <x:legacyDrawing xmlns:r="http://schemas.openxmlformats.org/officeDocument/2006/relationships" r:id="R3a68a15043a84aee"/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</x:cols>
  <x:sheetData>
    <x:row r="1" ht="29" customHeight="1">
      <x:c r="A1" s="224" t="str">
        <x:v>Goods ledger: taxes, use, purchases, sales and remaining stock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  <x:c r="P1" s="222"/>
      <x:c r="Q1" s="222"/>
      <x:c r="R1" s="222"/>
      <x:c r="S1" s="222"/>
      <x:c r="T1" s="222"/>
      <x:c r="U1" s="222"/>
      <x:c r="V1" s="222"/>
    </x:row>
    <x:row r="2" ht="29" customHeight="1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  <x:c r="U2" s="222"/>
      <x:c r="V2" s="222"/>
    </x:row>
    <x:row r="3" ht="29" customHeight="1">
      <x:c r="A3" s="222"/>
      <x:c r="B3" s="222"/>
      <x:c r="C3" s="222"/>
      <x:c r="D3" s="222"/>
      <x:c r="E3" s="222"/>
      <x:c r="F3" s="222"/>
      <x:c r="G3" s="222"/>
      <x:c r="H3" s="222"/>
      <x:c r="I3" s="222"/>
      <x:c r="J3" s="222"/>
      <x:c r="K3" s="222"/>
      <x:c r="L3" s="222"/>
      <x:c r="M3" s="222"/>
      <x:c r="N3" s="222"/>
      <x:c r="O3" s="222"/>
      <x:c r="P3" s="222"/>
      <x:c r="Q3" s="222"/>
      <x:c r="R3" s="222"/>
      <x:c r="S3" s="222"/>
      <x:c r="T3" s="222"/>
      <x:c r="U3" s="222"/>
      <x:c r="V3" s="222"/>
    </x:row>
    <x:row r="4" ht="48" customHeight="1">
      <x:c r="A4" s="213" t="str">
        <x:v>Region</x:v>
      </x:c>
      <x:c r="B4" s="213" t="str">
        <x:v>Good</x:v>
      </x:c>
      <x:c r="C4" s="213" t="str">
        <x:v>Physical unit</x:v>
      </x:c>
      <x:c r="D4" s="213" t="str">
        <x:v>Receipt-value mix</x:v>
      </x:c>
      <x:c r="E4" s="213" t="str">
        <x:v>Baseline tax quantity</x:v>
      </x:c>
      <x:c r="F4" s="213" t="str">
        <x:v>Collected factor</x:v>
      </x:c>
      <x:c r="G4" s="213" t="str">
        <x:v>Current price G</x:v>
      </x:c>
      <x:c r="H4" s="213" t="str">
        <x:v>Actual tax quantity</x:v>
      </x:c>
      <x:c r="I4" s="213" t="str">
        <x:v>Tax receipt value G</x:v>
      </x:c>
      <x:c r="J4" s="213" t="str">
        <x:v>Opening quantity</x:v>
      </x:c>
      <x:c r="K4" s="213" t="str">
        <x:v>Own use quantity</x:v>
      </x:c>
      <x:c r="L4" s="213" t="str">
        <x:v>Sold quantity</x:v>
      </x:c>
      <x:c r="M4" s="213" t="str">
        <x:v>Bought quantity</x:v>
      </x:c>
      <x:c r="N4" s="213" t="str">
        <x:v>Loss rate</x:v>
      </x:c>
      <x:c r="O4" s="213" t="str">
        <x:v>Loss quantity</x:v>
      </x:c>
      <x:c r="P4" s="213" t="str">
        <x:v>Closing quantity</x:v>
      </x:c>
      <x:c r="Q4" s="213" t="str">
        <x:v>Sale cash G</x:v>
      </x:c>
      <x:c r="R4" s="213" t="str">
        <x:v>Own-use value G</x:v>
      </x:c>
      <x:c r="S4" s="213" t="str">
        <x:v>Purchase cash G</x:v>
      </x:c>
      <x:c r="T4" s="213" t="str">
        <x:v>Loss value G</x:v>
      </x:c>
      <x:c r="U4" s="213" t="str">
        <x:v>Closing stock value G</x:v>
      </x:c>
      <x:c r="V4" s="213" t="str">
        <x:v>Physical bridge</x:v>
      </x:c>
    </x:row>
    <x:row r="5" ht="29" customHeight="1">
      <x:c r="A5" s="222" t="str">
        <x:v>North</x:v>
      </x:c>
      <x:c r="B5" s="227" t="str">
        <x:v>Wheat</x:v>
      </x:c>
      <x:c r="C5" s="227" t="str">
        <x:v>bushels</x:v>
      </x:c>
      <x:c r="D5" s="230" t="n">
        <x:v>0.35</x:v>
      </x:c>
      <x:c r="E5" s="227" t="n">
        <x:f>Inputs!S5*(1-Inputs!T5)*D5/Prices!D8</x:f>
        <x:v>980000</x:v>
      </x:c>
      <x:c r="F5" s="229" t="n">
        <x:f>Inputs!P5</x:f>
        <x:v>1</x:v>
      </x:c>
      <x:c r="G5" s="231" t="n">
        <x:f>Prices!E8</x:f>
        <x:v>0.15</x:v>
      </x:c>
      <x:c r="H5" s="227" t="n">
        <x:f>E5*F5</x:f>
        <x:v>980000</x:v>
      </x:c>
      <x:c r="I5" s="227" t="n">
        <x:f>H5*G5</x:f>
        <x:v>147000</x:v>
      </x:c>
      <x:c r="J5" s="232" t="n">
        <x:f>Inputs!K5</x:f>
        <x:v>250000</x:v>
      </x:c>
      <x:c r="K5" s="227" t="n">
        <x:f>E5*'Goods'!$C5</x:f>
        <x:v>833000</x:v>
      </x:c>
      <x:c r="L5" s="232" t="n">
        <x:v>0</x:v>
      </x:c>
      <x:c r="M5" s="232" t="n">
        <x:v>0</x:v>
      </x:c>
      <x:c r="N5" s="233" t="n">
        <x:v>0.05</x:v>
      </x:c>
      <x:c r="O5" s="227" t="n">
        <x:f>(J5+(H5+M5)/2)*N5</x:f>
        <x:v>37000</x:v>
      </x:c>
      <x:c r="P5" s="227" t="n">
        <x:f>SUM(J5,H5,M5)-SUM(K5:L5)-O5</x:f>
        <x:v>360000</x:v>
      </x:c>
      <x:c r="Q5" s="227" t="n">
        <x:f>L5*G5</x:f>
        <x:v>0</x:v>
      </x:c>
      <x:c r="R5" s="227" t="n">
        <x:f>K5*G5</x:f>
        <x:v>124950</x:v>
      </x:c>
      <x:c r="S5" s="227" t="n">
        <x:f>M5*G5</x:f>
        <x:v>0</x:v>
      </x:c>
      <x:c r="T5" s="227" t="n">
        <x:f>O5*G5</x:f>
        <x:v>5550</x:v>
      </x:c>
      <x:c r="U5" s="227" t="n">
        <x:f>P5*G5</x:f>
        <x:v>54000</x:v>
      </x:c>
      <x:c r="V5" s="227" t="n">
        <x:f>J5+H5+M5-K5-L5-O5-P5</x:f>
        <x:v>0</x:v>
      </x:c>
    </x:row>
    <x:row r="6" ht="29" customHeight="1">
      <x:c r="A6" s="222" t="str">
        <x:v>North</x:v>
      </x:c>
      <x:c r="B6" s="227" t="str">
        <x:v>Livestock basket</x:v>
      </x:c>
      <x:c r="C6" s="227" t="str">
        <x:v>cow-equivalent animals</x:v>
      </x:c>
      <x:c r="D6" s="230" t="n">
        <x:v>0.1</x:v>
      </x:c>
      <x:c r="E6" s="227" t="n">
        <x:f>Inputs!S5*(1-Inputs!T5)*D6/Prices!D17</x:f>
        <x:v>5250</x:v>
      </x:c>
      <x:c r="F6" s="229" t="n">
        <x:f>Inputs!P5</x:f>
        <x:v>1</x:v>
      </x:c>
      <x:c r="G6" s="231" t="n">
        <x:f>Prices!E17</x:f>
        <x:v>8</x:v>
      </x:c>
      <x:c r="H6" s="227" t="n">
        <x:f>E6*F6</x:f>
        <x:v>5250</x:v>
      </x:c>
      <x:c r="I6" s="227" t="n">
        <x:f>H6*G6</x:f>
        <x:v>42000</x:v>
      </x:c>
      <x:c r="J6" s="232" t="n">
        <x:v>630</x:v>
      </x:c>
      <x:c r="K6" s="227" t="n">
        <x:f>E6*'Goods'!$C5</x:f>
        <x:v>4462.5</x:v>
      </x:c>
      <x:c r="L6" s="232" t="n">
        <x:v>0</x:v>
      </x:c>
      <x:c r="M6" s="232" t="n">
        <x:v>0</x:v>
      </x:c>
      <x:c r="N6" s="233" t="n">
        <x:v>0.02</x:v>
      </x:c>
      <x:c r="O6" s="227" t="n">
        <x:f>(J6+(H6+M6)/2)*N6</x:f>
        <x:v>65.1</x:v>
      </x:c>
      <x:c r="P6" s="227" t="n">
        <x:f>SUM(J6,H6,M6)-SUM(K6:L6)-O6</x:f>
        <x:v>1352.4</x:v>
      </x:c>
      <x:c r="Q6" s="227" t="n">
        <x:f>L6*G6</x:f>
        <x:v>0</x:v>
      </x:c>
      <x:c r="R6" s="227" t="n">
        <x:f>K6*G6</x:f>
        <x:v>35700</x:v>
      </x:c>
      <x:c r="S6" s="227" t="n">
        <x:f>M6*G6</x:f>
        <x:v>0</x:v>
      </x:c>
      <x:c r="T6" s="227" t="n">
        <x:f>O6*G6</x:f>
        <x:v>520.8</x:v>
      </x:c>
      <x:c r="U6" s="227" t="n">
        <x:f>P6*G6</x:f>
        <x:v>10819.2</x:v>
      </x:c>
      <x:c r="V6" s="227" t="n">
        <x:f>J6+H6+M6-K6-L6-O6-P6</x:f>
        <x:v>0</x:v>
      </x:c>
    </x:row>
    <x:row r="7" ht="29" customHeight="1">
      <x:c r="A7" s="222" t="str">
        <x:v>North</x:v>
      </x:c>
      <x:c r="B7" s="227" t="str">
        <x:v>Wine</x:v>
      </x:c>
      <x:c r="C7" s="227" t="str">
        <x:v>gallons, common equivalent</x:v>
      </x:c>
      <x:c r="D7" s="230" t="n">
        <x:v>0</x:v>
      </x:c>
      <x:c r="E7" s="227" t="n">
        <x:f>Inputs!S5*(1-Inputs!T5)*D7/Prices!D15</x:f>
        <x:v>0</x:v>
      </x:c>
      <x:c r="F7" s="229" t="n">
        <x:f>Inputs!P5</x:f>
        <x:v>1</x:v>
      </x:c>
      <x:c r="G7" s="231" t="n">
        <x:f>Prices!E15</x:f>
        <x:v>0.12</x:v>
      </x:c>
      <x:c r="H7" s="227" t="n">
        <x:f>E7*F7</x:f>
        <x:v>0</x:v>
      </x:c>
      <x:c r="I7" s="227" t="n">
        <x:f>H7*G7</x:f>
        <x:v>0</x:v>
      </x:c>
      <x:c r="J7" s="232" t="n">
        <x:v>0</x:v>
      </x:c>
      <x:c r="K7" s="227" t="n">
        <x:f>E7*'Goods'!$C5</x:f>
        <x:v>0</x:v>
      </x:c>
      <x:c r="L7" s="232" t="n">
        <x:v>0</x:v>
      </x:c>
      <x:c r="M7" s="232" t="n">
        <x:v>0</x:v>
      </x:c>
      <x:c r="N7" s="233" t="n">
        <x:v>0.04</x:v>
      </x:c>
      <x:c r="O7" s="227" t="n">
        <x:f>(J7+(H7+M7)/2)*N7</x:f>
        <x:v>0</x:v>
      </x:c>
      <x:c r="P7" s="227" t="n">
        <x:f>SUM(J7,H7,M7)-SUM(K7:L7)-O7</x:f>
        <x:v>0</x:v>
      </x:c>
      <x:c r="Q7" s="227" t="n">
        <x:f>L7*G7</x:f>
        <x:v>0</x:v>
      </x:c>
      <x:c r="R7" s="227" t="n">
        <x:f>K7*G7</x:f>
        <x:v>0</x:v>
      </x:c>
      <x:c r="S7" s="227" t="n">
        <x:f>M7*G7</x:f>
        <x:v>0</x:v>
      </x:c>
      <x:c r="T7" s="227" t="n">
        <x:f>O7*G7</x:f>
        <x:v>0</x:v>
      </x:c>
      <x:c r="U7" s="227" t="n">
        <x:f>P7*G7</x:f>
        <x:v>0</x:v>
      </x:c>
      <x:c r="V7" s="227" t="n">
        <x:f>J7+H7+M7-K7-L7-O7-P7</x:f>
        <x:v>0</x:v>
      </x:c>
    </x:row>
    <x:row r="8" ht="29" customHeight="1">
      <x:c r="A8" s="222" t="str">
        <x:v>North</x:v>
      </x:c>
      <x:c r="B8" s="227" t="str">
        <x:v>Cloth</x:v>
      </x:c>
      <x:c r="C8" s="227" t="str">
        <x:v>yards, coarse wool equivalent</x:v>
      </x:c>
      <x:c r="D8" s="230" t="n">
        <x:v>0.15</x:v>
      </x:c>
      <x:c r="E8" s="227" t="n">
        <x:f>Inputs!S5*(1-Inputs!T5)*D8/Prices!D52</x:f>
        <x:v>787500</x:v>
      </x:c>
      <x:c r="F8" s="229" t="n">
        <x:f>Inputs!P5</x:f>
        <x:v>1</x:v>
      </x:c>
      <x:c r="G8" s="231" t="n">
        <x:f>Prices!E52</x:f>
        <x:v>0.08</x:v>
      </x:c>
      <x:c r="H8" s="227" t="n">
        <x:f>E8*F8</x:f>
        <x:v>787500</x:v>
      </x:c>
      <x:c r="I8" s="227" t="n">
        <x:f>H8*G8</x:f>
        <x:v>63000</x:v>
      </x:c>
      <x:c r="J8" s="232" t="n">
        <x:v>94500</x:v>
      </x:c>
      <x:c r="K8" s="227" t="n">
        <x:f>E8*'Goods'!$C5</x:f>
        <x:v>669375</x:v>
      </x:c>
      <x:c r="L8" s="232" t="n">
        <x:v>0</x:v>
      </x:c>
      <x:c r="M8" s="232" t="n">
        <x:v>0</x:v>
      </x:c>
      <x:c r="N8" s="233" t="n">
        <x:v>0.02</x:v>
      </x:c>
      <x:c r="O8" s="227" t="n">
        <x:f>(J8+(H8+M8)/2)*N8</x:f>
        <x:v>9765</x:v>
      </x:c>
      <x:c r="P8" s="227" t="n">
        <x:f>SUM(J8,H8,M8)-SUM(K8:L8)-O8</x:f>
        <x:v>202860</x:v>
      </x:c>
      <x:c r="Q8" s="227" t="n">
        <x:f>L8*G8</x:f>
        <x:v>0</x:v>
      </x:c>
      <x:c r="R8" s="227" t="n">
        <x:f>K8*G8</x:f>
        <x:v>53550</x:v>
      </x:c>
      <x:c r="S8" s="227" t="n">
        <x:f>M8*G8</x:f>
        <x:v>0</x:v>
      </x:c>
      <x:c r="T8" s="227" t="n">
        <x:f>O8*G8</x:f>
        <x:v>781.2</x:v>
      </x:c>
      <x:c r="U8" s="227" t="n">
        <x:f>P8*G8</x:f>
        <x:v>16228.800000000001</x:v>
      </x:c>
      <x:c r="V8" s="227" t="n">
        <x:f>J8+H8+M8-K8-L8-O8-P8</x:f>
        <x:v>0</x:v>
      </x:c>
    </x:row>
    <x:row r="9" ht="29" customHeight="1">
      <x:c r="A9" s="222" t="str">
        <x:v>North</x:v>
      </x:c>
      <x:c r="B9" s="227" t="str">
        <x:v>Timber</x:v>
      </x:c>
      <x:c r="C9" s="227" t="str">
        <x:v>100 board feet</x:v>
      </x:c>
      <x:c r="D9" s="230" t="n">
        <x:v>0.3</x:v>
      </x:c>
      <x:c r="E9" s="227" t="n">
        <x:f>Inputs!S5*(1-Inputs!T5)*D9/Prices!D22</x:f>
        <x:v>70000</x:v>
      </x:c>
      <x:c r="F9" s="229" t="n">
        <x:f>Inputs!P5</x:f>
        <x:v>1</x:v>
      </x:c>
      <x:c r="G9" s="231" t="n">
        <x:f>Prices!E22</x:f>
        <x:v>1.8</x:v>
      </x:c>
      <x:c r="H9" s="227" t="n">
        <x:f>E9*F9</x:f>
        <x:v>70000</x:v>
      </x:c>
      <x:c r="I9" s="227" t="n">
        <x:f>H9*G9</x:f>
        <x:v>126000</x:v>
      </x:c>
      <x:c r="J9" s="232" t="n">
        <x:v>8400</x:v>
      </x:c>
      <x:c r="K9" s="227" t="n">
        <x:f>E9*'Goods'!$C5</x:f>
        <x:v>59500</x:v>
      </x:c>
      <x:c r="L9" s="232" t="n">
        <x:v>0</x:v>
      </x:c>
      <x:c r="M9" s="232" t="n">
        <x:v>0</x:v>
      </x:c>
      <x:c r="N9" s="233" t="n">
        <x:v>0.01</x:v>
      </x:c>
      <x:c r="O9" s="227" t="n">
        <x:f>(J9+(H9+M9)/2)*N9</x:f>
        <x:v>434</x:v>
      </x:c>
      <x:c r="P9" s="227" t="n">
        <x:f>SUM(J9,H9,M9)-SUM(K9:L9)-O9</x:f>
        <x:v>18466</x:v>
      </x:c>
      <x:c r="Q9" s="227" t="n">
        <x:f>L9*G9</x:f>
        <x:v>0</x:v>
      </x:c>
      <x:c r="R9" s="227" t="n">
        <x:f>K9*G9</x:f>
        <x:v>107100</x:v>
      </x:c>
      <x:c r="S9" s="227" t="n">
        <x:f>M9*G9</x:f>
        <x:v>0</x:v>
      </x:c>
      <x:c r="T9" s="227" t="n">
        <x:f>O9*G9</x:f>
        <x:v>781.2</x:v>
      </x:c>
      <x:c r="U9" s="227" t="n">
        <x:f>P9*G9</x:f>
        <x:v>33238.8</x:v>
      </x:c>
      <x:c r="V9" s="227" t="n">
        <x:f>J9+H9+M9-K9-L9-O9-P9</x:f>
        <x:v>0</x:v>
      </x:c>
    </x:row>
    <x:row r="10" ht="29" customHeight="1">
      <x:c r="A10" s="222" t="str">
        <x:v>North</x:v>
      </x:c>
      <x:c r="B10" s="227" t="str">
        <x:v>Iron</x:v>
      </x:c>
      <x:c r="C10" s="227" t="str">
        <x:v>hundredweight</x:v>
      </x:c>
      <x:c r="D10" s="230" t="n">
        <x:v>0.05</x:v>
      </x:c>
      <x:c r="E10" s="227" t="n">
        <x:f>Inputs!S5*(1-Inputs!T5)*D10/Prices!D21</x:f>
        <x:v>5250</x:v>
      </x:c>
      <x:c r="F10" s="229" t="n">
        <x:f>Inputs!P5</x:f>
        <x:v>1</x:v>
      </x:c>
      <x:c r="G10" s="231" t="n">
        <x:f>Prices!E21</x:f>
        <x:v>4</x:v>
      </x:c>
      <x:c r="H10" s="227" t="n">
        <x:f>E10*F10</x:f>
        <x:v>5250</x:v>
      </x:c>
      <x:c r="I10" s="227" t="n">
        <x:f>H10*G10</x:f>
        <x:v>21000</x:v>
      </x:c>
      <x:c r="J10" s="232" t="n">
        <x:v>630</x:v>
      </x:c>
      <x:c r="K10" s="227" t="n">
        <x:f>E10*'Goods'!$C5</x:f>
        <x:v>4462.5</x:v>
      </x:c>
      <x:c r="L10" s="232" t="n">
        <x:v>0</x:v>
      </x:c>
      <x:c r="M10" s="232" t="n">
        <x:v>0</x:v>
      </x:c>
      <x:c r="N10" s="233" t="n">
        <x:v>0.005</x:v>
      </x:c>
      <x:c r="O10" s="227" t="n">
        <x:f>(J10+(H10+M10)/2)*N10</x:f>
        <x:v>16.275</x:v>
      </x:c>
      <x:c r="P10" s="227" t="n">
        <x:f>SUM(J10,H10,M10)-SUM(K10:L10)-O10</x:f>
        <x:v>1401.225</x:v>
      </x:c>
      <x:c r="Q10" s="227" t="n">
        <x:f>L10*G10</x:f>
        <x:v>0</x:v>
      </x:c>
      <x:c r="R10" s="227" t="n">
        <x:f>K10*G10</x:f>
        <x:v>17850</x:v>
      </x:c>
      <x:c r="S10" s="227" t="n">
        <x:f>M10*G10</x:f>
        <x:v>0</x:v>
      </x:c>
      <x:c r="T10" s="227" t="n">
        <x:f>O10*G10</x:f>
        <x:v>65.1</x:v>
      </x:c>
      <x:c r="U10" s="227" t="n">
        <x:f>P10*G10</x:f>
        <x:v>5604.9</x:v>
      </x:c>
      <x:c r="V10" s="227" t="n">
        <x:f>J10+H10+M10-K10-L10-O10-P10</x:f>
        <x:v>0</x:v>
      </x:c>
    </x:row>
    <x:row r="11" ht="29" customHeight="1">
      <x:c r="A11" s="222" t="str">
        <x:v>North</x:v>
      </x:c>
      <x:c r="B11" s="227" t="str">
        <x:v>Preserved fish</x:v>
      </x:c>
      <x:c r="C11" s="227" t="str">
        <x:v>100 lb planning loads</x:v>
      </x:c>
      <x:c r="D11" s="230" t="n">
        <x:v>0.05</x:v>
      </x:c>
      <x:c r="E11" s="227" t="n">
        <x:f>Inputs!S5*(1-Inputs!T5)*D11/Prices!D53</x:f>
        <x:v>5250</x:v>
      </x:c>
      <x:c r="F11" s="229" t="n">
        <x:f>Inputs!P5</x:f>
        <x:v>1</x:v>
      </x:c>
      <x:c r="G11" s="231" t="n">
        <x:f>Prices!E53</x:f>
        <x:v>4</x:v>
      </x:c>
      <x:c r="H11" s="227" t="n">
        <x:f>E11*F11</x:f>
        <x:v>5250</x:v>
      </x:c>
      <x:c r="I11" s="227" t="n">
        <x:f>H11*G11</x:f>
        <x:v>21000</x:v>
      </x:c>
      <x:c r="J11" s="232" t="n">
        <x:v>630</x:v>
      </x:c>
      <x:c r="K11" s="227" t="n">
        <x:f>E11*'Goods'!$C5</x:f>
        <x:v>4462.5</x:v>
      </x:c>
      <x:c r="L11" s="232" t="n">
        <x:v>0</x:v>
      </x:c>
      <x:c r="M11" s="232" t="n">
        <x:v>0</x:v>
      </x:c>
      <x:c r="N11" s="233" t="n">
        <x:v>0.05</x:v>
      </x:c>
      <x:c r="O11" s="227" t="n">
        <x:f>(J11+(H11+M11)/2)*N11</x:f>
        <x:v>162.75</x:v>
      </x:c>
      <x:c r="P11" s="227" t="n">
        <x:f>SUM(J11,H11,M11)-SUM(K11:L11)-O11</x:f>
        <x:v>1254.75</x:v>
      </x:c>
      <x:c r="Q11" s="227" t="n">
        <x:f>L11*G11</x:f>
        <x:v>0</x:v>
      </x:c>
      <x:c r="R11" s="227" t="n">
        <x:f>K11*G11</x:f>
        <x:v>17850</x:v>
      </x:c>
      <x:c r="S11" s="227" t="n">
        <x:f>M11*G11</x:f>
        <x:v>0</x:v>
      </x:c>
      <x:c r="T11" s="227" t="n">
        <x:f>O11*G11</x:f>
        <x:v>651</x:v>
      </x:c>
      <x:c r="U11" s="227" t="n">
        <x:f>P11*G11</x:f>
        <x:v>5019</x:v>
      </x:c>
      <x:c r="V11" s="227" t="n">
        <x:f>J11+H11+M11-K11-L11-O11-P11</x:f>
        <x:v>0</x:v>
      </x:c>
    </x:row>
    <x:row r="12" ht="29" customHeight="1">
      <x:c r="A12" s="222" t="str">
        <x:v>Vale</x:v>
      </x:c>
      <x:c r="B12" s="227" t="str">
        <x:v>Wheat</x:v>
      </x:c>
      <x:c r="C12" s="227" t="str">
        <x:v>bushels</x:v>
      </x:c>
      <x:c r="D12" s="230" t="n">
        <x:v>0.45</x:v>
      </x:c>
      <x:c r="E12" s="227" t="n">
        <x:f>Inputs!S6*(1-Inputs!T6)*D12/Prices!D8</x:f>
        <x:v>2400000</x:v>
      </x:c>
      <x:c r="F12" s="229" t="n">
        <x:f>Inputs!P6</x:f>
        <x:v>1</x:v>
      </x:c>
      <x:c r="G12" s="231" t="n">
        <x:f>Prices!E8</x:f>
        <x:v>0.15</x:v>
      </x:c>
      <x:c r="H12" s="227" t="n">
        <x:f>E12*F12</x:f>
        <x:v>2400000</x:v>
      </x:c>
      <x:c r="I12" s="227" t="n">
        <x:f>H12*G12</x:f>
        <x:v>360000</x:v>
      </x:c>
      <x:c r="J12" s="232" t="n">
        <x:f>Inputs!K6</x:f>
        <x:v>180000</x:v>
      </x:c>
      <x:c r="K12" s="227" t="n">
        <x:f>E12*'Goods'!$C6</x:f>
        <x:v>2040000</x:v>
      </x:c>
      <x:c r="L12" s="232" t="n">
        <x:v>0</x:v>
      </x:c>
      <x:c r="M12" s="232" t="n">
        <x:v>0</x:v>
      </x:c>
      <x:c r="N12" s="233" t="n">
        <x:v>0.05</x:v>
      </x:c>
      <x:c r="O12" s="227" t="n">
        <x:f>(J12+(H12+M12)/2)*N12</x:f>
        <x:v>69000</x:v>
      </x:c>
      <x:c r="P12" s="227" t="n">
        <x:f>SUM(J12,H12,M12)-SUM(K12:L12)-O12</x:f>
        <x:v>471000</x:v>
      </x:c>
      <x:c r="Q12" s="227" t="n">
        <x:f>L12*G12</x:f>
        <x:v>0</x:v>
      </x:c>
      <x:c r="R12" s="227" t="n">
        <x:f>K12*G12</x:f>
        <x:v>306000</x:v>
      </x:c>
      <x:c r="S12" s="227" t="n">
        <x:f>M12*G12</x:f>
        <x:v>0</x:v>
      </x:c>
      <x:c r="T12" s="227" t="n">
        <x:f>O12*G12</x:f>
        <x:v>10350</x:v>
      </x:c>
      <x:c r="U12" s="227" t="n">
        <x:f>P12*G12</x:f>
        <x:v>70650</x:v>
      </x:c>
      <x:c r="V12" s="227" t="n">
        <x:f>J12+H12+M12-K12-L12-O12-P12</x:f>
        <x:v>0</x:v>
      </x:c>
    </x:row>
    <x:row r="13" ht="29" customHeight="1">
      <x:c r="A13" s="222" t="str">
        <x:v>Vale</x:v>
      </x:c>
      <x:c r="B13" s="227" t="str">
        <x:v>Livestock basket</x:v>
      </x:c>
      <x:c r="C13" s="227" t="str">
        <x:v>cow-equivalent animals</x:v>
      </x:c>
      <x:c r="D13" s="230" t="n">
        <x:v>0.15</x:v>
      </x:c>
      <x:c r="E13" s="227" t="n">
        <x:f>Inputs!S6*(1-Inputs!T6)*D13/Prices!D17</x:f>
        <x:v>15000</x:v>
      </x:c>
      <x:c r="F13" s="229" t="n">
        <x:f>Inputs!P6</x:f>
        <x:v>1</x:v>
      </x:c>
      <x:c r="G13" s="231" t="n">
        <x:f>Prices!E17</x:f>
        <x:v>8</x:v>
      </x:c>
      <x:c r="H13" s="227" t="n">
        <x:f>E13*F13</x:f>
        <x:v>15000</x:v>
      </x:c>
      <x:c r="I13" s="227" t="n">
        <x:f>H13*G13</x:f>
        <x:v>120000</x:v>
      </x:c>
      <x:c r="J13" s="232" t="n">
        <x:v>1800</x:v>
      </x:c>
      <x:c r="K13" s="227" t="n">
        <x:f>E13*'Goods'!$C6</x:f>
        <x:v>12750</x:v>
      </x:c>
      <x:c r="L13" s="232" t="n">
        <x:v>0</x:v>
      </x:c>
      <x:c r="M13" s="232" t="n">
        <x:v>0</x:v>
      </x:c>
      <x:c r="N13" s="233" t="n">
        <x:v>0.02</x:v>
      </x:c>
      <x:c r="O13" s="227" t="n">
        <x:f>(J13+(H13+M13)/2)*N13</x:f>
        <x:v>186</x:v>
      </x:c>
      <x:c r="P13" s="227" t="n">
        <x:f>SUM(J13,H13,M13)-SUM(K13:L13)-O13</x:f>
        <x:v>3864</x:v>
      </x:c>
      <x:c r="Q13" s="227" t="n">
        <x:f>L13*G13</x:f>
        <x:v>0</x:v>
      </x:c>
      <x:c r="R13" s="227" t="n">
        <x:f>K13*G13</x:f>
        <x:v>102000</x:v>
      </x:c>
      <x:c r="S13" s="227" t="n">
        <x:f>M13*G13</x:f>
        <x:v>0</x:v>
      </x:c>
      <x:c r="T13" s="227" t="n">
        <x:f>O13*G13</x:f>
        <x:v>1488</x:v>
      </x:c>
      <x:c r="U13" s="227" t="n">
        <x:f>P13*G13</x:f>
        <x:v>30912</x:v>
      </x:c>
      <x:c r="V13" s="227" t="n">
        <x:f>J13+H13+M13-K13-L13-O13-P13</x:f>
        <x:v>0</x:v>
      </x:c>
    </x:row>
    <x:row r="14" ht="29" customHeight="1">
      <x:c r="A14" s="222" t="str">
        <x:v>Vale</x:v>
      </x:c>
      <x:c r="B14" s="227" t="str">
        <x:v>Wine</x:v>
      </x:c>
      <x:c r="C14" s="227" t="str">
        <x:v>gallons, common equivalent</x:v>
      </x:c>
      <x:c r="D14" s="230" t="n">
        <x:v>0.05</x:v>
      </x:c>
      <x:c r="E14" s="227" t="n">
        <x:f>Inputs!S6*(1-Inputs!T6)*D14/Prices!D15</x:f>
        <x:v>333333.3333333334</x:v>
      </x:c>
      <x:c r="F14" s="229" t="n">
        <x:f>Inputs!P6</x:f>
        <x:v>1</x:v>
      </x:c>
      <x:c r="G14" s="231" t="n">
        <x:f>Prices!E15</x:f>
        <x:v>0.12</x:v>
      </x:c>
      <x:c r="H14" s="227" t="n">
        <x:f>E14*F14</x:f>
        <x:v>333333.3333333334</x:v>
      </x:c>
      <x:c r="I14" s="227" t="n">
        <x:f>H14*G14</x:f>
        <x:v>40000</x:v>
      </x:c>
      <x:c r="J14" s="232" t="n">
        <x:v>40000</x:v>
      </x:c>
      <x:c r="K14" s="227" t="n">
        <x:f>E14*'Goods'!$C6</x:f>
        <x:v>283333.3333333334</x:v>
      </x:c>
      <x:c r="L14" s="232" t="n">
        <x:v>0</x:v>
      </x:c>
      <x:c r="M14" s="232" t="n">
        <x:v>0</x:v>
      </x:c>
      <x:c r="N14" s="233" t="n">
        <x:v>0.04</x:v>
      </x:c>
      <x:c r="O14" s="227" t="n">
        <x:f>(J14+(H14+M14)/2)*N14</x:f>
        <x:v>8266.666666666668</x:v>
      </x:c>
      <x:c r="P14" s="227" t="n">
        <x:f>SUM(J14,H14,M14)-SUM(K14:L14)-O14</x:f>
        <x:v>81733.33333333333</x:v>
      </x:c>
      <x:c r="Q14" s="227" t="n">
        <x:f>L14*G14</x:f>
        <x:v>0</x:v>
      </x:c>
      <x:c r="R14" s="227" t="n">
        <x:f>K14*G14</x:f>
        <x:v>34000</x:v>
      </x:c>
      <x:c r="S14" s="227" t="n">
        <x:f>M14*G14</x:f>
        <x:v>0</x:v>
      </x:c>
      <x:c r="T14" s="227" t="n">
        <x:f>O14*G14</x:f>
        <x:v>992.0000000000001</x:v>
      </x:c>
      <x:c r="U14" s="227" t="n">
        <x:f>P14*G14</x:f>
        <x:v>9807.999999999998</x:v>
      </x:c>
      <x:c r="V14" s="227" t="n">
        <x:f>J14+H14+M14-K14-L14-O14-P14</x:f>
        <x:v>0</x:v>
      </x:c>
    </x:row>
    <x:row r="15" ht="29" customHeight="1">
      <x:c r="A15" s="222" t="str">
        <x:v>Vale</x:v>
      </x:c>
      <x:c r="B15" s="227" t="str">
        <x:v>Cloth</x:v>
      </x:c>
      <x:c r="C15" s="227" t="str">
        <x:v>yards, coarse wool equivalent</x:v>
      </x:c>
      <x:c r="D15" s="230" t="n">
        <x:v>0.15</x:v>
      </x:c>
      <x:c r="E15" s="227" t="n">
        <x:f>Inputs!S6*(1-Inputs!T6)*D15/Prices!D52</x:f>
        <x:v>1500000</x:v>
      </x:c>
      <x:c r="F15" s="229" t="n">
        <x:f>Inputs!P6</x:f>
        <x:v>1</x:v>
      </x:c>
      <x:c r="G15" s="231" t="n">
        <x:f>Prices!E52</x:f>
        <x:v>0.08</x:v>
      </x:c>
      <x:c r="H15" s="227" t="n">
        <x:f>E15*F15</x:f>
        <x:v>1500000</x:v>
      </x:c>
      <x:c r="I15" s="227" t="n">
        <x:f>H15*G15</x:f>
        <x:v>120000</x:v>
      </x:c>
      <x:c r="J15" s="232" t="n">
        <x:v>180000</x:v>
      </x:c>
      <x:c r="K15" s="227" t="n">
        <x:f>E15*'Goods'!$C6</x:f>
        <x:v>1275000</x:v>
      </x:c>
      <x:c r="L15" s="232" t="n">
        <x:v>0</x:v>
      </x:c>
      <x:c r="M15" s="232" t="n">
        <x:v>0</x:v>
      </x:c>
      <x:c r="N15" s="233" t="n">
        <x:v>0.02</x:v>
      </x:c>
      <x:c r="O15" s="227" t="n">
        <x:f>(J15+(H15+M15)/2)*N15</x:f>
        <x:v>18600</x:v>
      </x:c>
      <x:c r="P15" s="227" t="n">
        <x:f>SUM(J15,H15,M15)-SUM(K15:L15)-O15</x:f>
        <x:v>386400</x:v>
      </x:c>
      <x:c r="Q15" s="227" t="n">
        <x:f>L15*G15</x:f>
        <x:v>0</x:v>
      </x:c>
      <x:c r="R15" s="227" t="n">
        <x:f>K15*G15</x:f>
        <x:v>102000</x:v>
      </x:c>
      <x:c r="S15" s="227" t="n">
        <x:f>M15*G15</x:f>
        <x:v>0</x:v>
      </x:c>
      <x:c r="T15" s="227" t="n">
        <x:f>O15*G15</x:f>
        <x:v>1488</x:v>
      </x:c>
      <x:c r="U15" s="227" t="n">
        <x:f>P15*G15</x:f>
        <x:v>30912</x:v>
      </x:c>
      <x:c r="V15" s="227" t="n">
        <x:f>J15+H15+M15-K15-L15-O15-P15</x:f>
        <x:v>0</x:v>
      </x:c>
    </x:row>
    <x:row r="16" ht="29" customHeight="1">
      <x:c r="A16" s="222" t="str">
        <x:v>Vale</x:v>
      </x:c>
      <x:c r="B16" s="227" t="str">
        <x:v>Timber</x:v>
      </x:c>
      <x:c r="C16" s="227" t="str">
        <x:v>100 board feet</x:v>
      </x:c>
      <x:c r="D16" s="230" t="n">
        <x:v>0.1</x:v>
      </x:c>
      <x:c r="E16" s="227" t="n">
        <x:f>Inputs!S6*(1-Inputs!T6)*D16/Prices!D22</x:f>
        <x:v>44444.444444444445</x:v>
      </x:c>
      <x:c r="F16" s="229" t="n">
        <x:f>Inputs!P6</x:f>
        <x:v>1</x:v>
      </x:c>
      <x:c r="G16" s="231" t="n">
        <x:f>Prices!E22</x:f>
        <x:v>1.8</x:v>
      </x:c>
      <x:c r="H16" s="227" t="n">
        <x:f>E16*F16</x:f>
        <x:v>44444.444444444445</x:v>
      </x:c>
      <x:c r="I16" s="227" t="n">
        <x:f>H16*G16</x:f>
        <x:v>80000</x:v>
      </x:c>
      <x:c r="J16" s="232" t="n">
        <x:v>5333.33</x:v>
      </x:c>
      <x:c r="K16" s="227" t="n">
        <x:f>E16*'Goods'!$C6</x:f>
        <x:v>37777.77777777778</x:v>
      </x:c>
      <x:c r="L16" s="232" t="n">
        <x:v>0</x:v>
      </x:c>
      <x:c r="M16" s="232" t="n">
        <x:v>0</x:v>
      </x:c>
      <x:c r="N16" s="233" t="n">
        <x:v>0.01</x:v>
      </x:c>
      <x:c r="O16" s="227" t="n">
        <x:f>(J16+(H16+M16)/2)*N16</x:f>
        <x:v>275.55552222222224</x:v>
      </x:c>
      <x:c r="P16" s="227" t="n">
        <x:f>SUM(J16,H16,M16)-SUM(K16:L16)-O16</x:f>
        <x:v>11724.441144444443</x:v>
      </x:c>
      <x:c r="Q16" s="227" t="n">
        <x:f>L16*G16</x:f>
        <x:v>0</x:v>
      </x:c>
      <x:c r="R16" s="227" t="n">
        <x:f>K16*G16</x:f>
        <x:v>68000.00000000001</x:v>
      </x:c>
      <x:c r="S16" s="227" t="n">
        <x:f>M16*G16</x:f>
        <x:v>0</x:v>
      </x:c>
      <x:c r="T16" s="227" t="n">
        <x:f>O16*G16</x:f>
        <x:v>495.99994000000004</x:v>
      </x:c>
      <x:c r="U16" s="227" t="n">
        <x:f>P16*G16</x:f>
        <x:v>21103.994059999997</x:v>
      </x:c>
      <x:c r="V16" s="227" t="n">
        <x:f>J16+H16+M16-K16-L16-O16-P16</x:f>
        <x:v>0</x:v>
      </x:c>
    </x:row>
    <x:row r="17" ht="29" customHeight="1">
      <x:c r="A17" s="222" t="str">
        <x:v>Vale</x:v>
      </x:c>
      <x:c r="B17" s="227" t="str">
        <x:v>Iron</x:v>
      </x:c>
      <x:c r="C17" s="227" t="str">
        <x:v>hundredweight</x:v>
      </x:c>
      <x:c r="D17" s="230" t="n">
        <x:v>0.05</x:v>
      </x:c>
      <x:c r="E17" s="227" t="n">
        <x:f>Inputs!S6*(1-Inputs!T6)*D17/Prices!D21</x:f>
        <x:v>10000</x:v>
      </x:c>
      <x:c r="F17" s="229" t="n">
        <x:f>Inputs!P6</x:f>
        <x:v>1</x:v>
      </x:c>
      <x:c r="G17" s="231" t="n">
        <x:f>Prices!E21</x:f>
        <x:v>4</x:v>
      </x:c>
      <x:c r="H17" s="227" t="n">
        <x:f>E17*F17</x:f>
        <x:v>10000</x:v>
      </x:c>
      <x:c r="I17" s="227" t="n">
        <x:f>H17*G17</x:f>
        <x:v>40000</x:v>
      </x:c>
      <x:c r="J17" s="232" t="n">
        <x:v>1200</x:v>
      </x:c>
      <x:c r="K17" s="227" t="n">
        <x:f>E17*'Goods'!$C6</x:f>
        <x:v>8500</x:v>
      </x:c>
      <x:c r="L17" s="232" t="n">
        <x:v>0</x:v>
      </x:c>
      <x:c r="M17" s="232" t="n">
        <x:v>0</x:v>
      </x:c>
      <x:c r="N17" s="233" t="n">
        <x:v>0.005</x:v>
      </x:c>
      <x:c r="O17" s="227" t="n">
        <x:f>(J17+(H17+M17)/2)*N17</x:f>
        <x:v>31</x:v>
      </x:c>
      <x:c r="P17" s="227" t="n">
        <x:f>SUM(J17,H17,M17)-SUM(K17:L17)-O17</x:f>
        <x:v>2669</x:v>
      </x:c>
      <x:c r="Q17" s="227" t="n">
        <x:f>L17*G17</x:f>
        <x:v>0</x:v>
      </x:c>
      <x:c r="R17" s="227" t="n">
        <x:f>K17*G17</x:f>
        <x:v>34000</x:v>
      </x:c>
      <x:c r="S17" s="227" t="n">
        <x:f>M17*G17</x:f>
        <x:v>0</x:v>
      </x:c>
      <x:c r="T17" s="227" t="n">
        <x:f>O17*G17</x:f>
        <x:v>124</x:v>
      </x:c>
      <x:c r="U17" s="227" t="n">
        <x:f>P17*G17</x:f>
        <x:v>10676</x:v>
      </x:c>
      <x:c r="V17" s="227" t="n">
        <x:f>J17+H17+M17-K17-L17-O17-P17</x:f>
        <x:v>0</x:v>
      </x:c>
    </x:row>
    <x:row r="18" ht="29" customHeight="1">
      <x:c r="A18" s="222" t="str">
        <x:v>Vale</x:v>
      </x:c>
      <x:c r="B18" s="227" t="str">
        <x:v>Preserved fish</x:v>
      </x:c>
      <x:c r="C18" s="227" t="str">
        <x:v>100 lb planning loads</x:v>
      </x:c>
      <x:c r="D18" s="230" t="n">
        <x:v>0.05</x:v>
      </x:c>
      <x:c r="E18" s="227" t="n">
        <x:f>Inputs!S6*(1-Inputs!T6)*D18/Prices!D53</x:f>
        <x:v>10000</x:v>
      </x:c>
      <x:c r="F18" s="229" t="n">
        <x:f>Inputs!P6</x:f>
        <x:v>1</x:v>
      </x:c>
      <x:c r="G18" s="231" t="n">
        <x:f>Prices!E53</x:f>
        <x:v>4</x:v>
      </x:c>
      <x:c r="H18" s="227" t="n">
        <x:f>E18*F18</x:f>
        <x:v>10000</x:v>
      </x:c>
      <x:c r="I18" s="227" t="n">
        <x:f>H18*G18</x:f>
        <x:v>40000</x:v>
      </x:c>
      <x:c r="J18" s="232" t="n">
        <x:v>1200</x:v>
      </x:c>
      <x:c r="K18" s="227" t="n">
        <x:f>E18*'Goods'!$C6</x:f>
        <x:v>8500</x:v>
      </x:c>
      <x:c r="L18" s="232" t="n">
        <x:v>0</x:v>
      </x:c>
      <x:c r="M18" s="232" t="n">
        <x:v>0</x:v>
      </x:c>
      <x:c r="N18" s="233" t="n">
        <x:v>0.05</x:v>
      </x:c>
      <x:c r="O18" s="227" t="n">
        <x:f>(J18+(H18+M18)/2)*N18</x:f>
        <x:v>310</x:v>
      </x:c>
      <x:c r="P18" s="227" t="n">
        <x:f>SUM(J18,H18,M18)-SUM(K18:L18)-O18</x:f>
        <x:v>2390</x:v>
      </x:c>
      <x:c r="Q18" s="227" t="n">
        <x:f>L18*G18</x:f>
        <x:v>0</x:v>
      </x:c>
      <x:c r="R18" s="227" t="n">
        <x:f>K18*G18</x:f>
        <x:v>34000</x:v>
      </x:c>
      <x:c r="S18" s="227" t="n">
        <x:f>M18*G18</x:f>
        <x:v>0</x:v>
      </x:c>
      <x:c r="T18" s="227" t="n">
        <x:f>O18*G18</x:f>
        <x:v>1240</x:v>
      </x:c>
      <x:c r="U18" s="227" t="n">
        <x:f>P18*G18</x:f>
        <x:v>9560</x:v>
      </x:c>
      <x:c r="V18" s="227" t="n">
        <x:f>J18+H18+M18-K18-L18-O18-P18</x:f>
        <x:v>0</x:v>
      </x:c>
    </x:row>
    <x:row r="19" ht="29" customHeight="1">
      <x:c r="A19" s="222" t="str">
        <x:v>Riverlands</x:v>
      </x:c>
      <x:c r="B19" s="227" t="str">
        <x:v>Wheat</x:v>
      </x:c>
      <x:c r="C19" s="227" t="str">
        <x:v>bushels</x:v>
      </x:c>
      <x:c r="D19" s="230" t="n">
        <x:v>0.45</x:v>
      </x:c>
      <x:c r="E19" s="227" t="n">
        <x:f>Inputs!S7*(1-Inputs!T7)*D19/Prices!D8</x:f>
        <x:v>1500000</x:v>
      </x:c>
      <x:c r="F19" s="229" t="n">
        <x:f>Inputs!P7</x:f>
        <x:v>1</x:v>
      </x:c>
      <x:c r="G19" s="231" t="n">
        <x:f>Prices!E8</x:f>
        <x:v>0.15</x:v>
      </x:c>
      <x:c r="H19" s="227" t="n">
        <x:f>E19*F19</x:f>
        <x:v>1500000</x:v>
      </x:c>
      <x:c r="I19" s="227" t="n">
        <x:f>H19*G19</x:f>
        <x:v>225000</x:v>
      </x:c>
      <x:c r="J19" s="232" t="n">
        <x:f>Inputs!K7</x:f>
        <x:v>150000</x:v>
      </x:c>
      <x:c r="K19" s="227" t="n">
        <x:f>E19*'Goods'!$C7</x:f>
        <x:v>1275000</x:v>
      </x:c>
      <x:c r="L19" s="232" t="n">
        <x:v>0</x:v>
      </x:c>
      <x:c r="M19" s="232" t="n">
        <x:v>0</x:v>
      </x:c>
      <x:c r="N19" s="233" t="n">
        <x:v>0.05</x:v>
      </x:c>
      <x:c r="O19" s="227" t="n">
        <x:f>(J19+(H19+M19)/2)*N19</x:f>
        <x:v>45000</x:v>
      </x:c>
      <x:c r="P19" s="227" t="n">
        <x:f>SUM(J19,H19,M19)-SUM(K19:L19)-O19</x:f>
        <x:v>330000</x:v>
      </x:c>
      <x:c r="Q19" s="227" t="n">
        <x:f>L19*G19</x:f>
        <x:v>0</x:v>
      </x:c>
      <x:c r="R19" s="227" t="n">
        <x:f>K19*G19</x:f>
        <x:v>191250</x:v>
      </x:c>
      <x:c r="S19" s="227" t="n">
        <x:f>M19*G19</x:f>
        <x:v>0</x:v>
      </x:c>
      <x:c r="T19" s="227" t="n">
        <x:f>O19*G19</x:f>
        <x:v>6750</x:v>
      </x:c>
      <x:c r="U19" s="227" t="n">
        <x:f>P19*G19</x:f>
        <x:v>49500</x:v>
      </x:c>
      <x:c r="V19" s="227" t="n">
        <x:f>J19+H19+M19-K19-L19-O19-P19</x:f>
        <x:v>0</x:v>
      </x:c>
    </x:row>
    <x:row r="20" ht="29" customHeight="1">
      <x:c r="A20" s="222" t="str">
        <x:v>Riverlands</x:v>
      </x:c>
      <x:c r="B20" s="227" t="str">
        <x:v>Livestock basket</x:v>
      </x:c>
      <x:c r="C20" s="227" t="str">
        <x:v>cow-equivalent animals</x:v>
      </x:c>
      <x:c r="D20" s="230" t="n">
        <x:v>0.25</x:v>
      </x:c>
      <x:c r="E20" s="227" t="n">
        <x:f>Inputs!S7*(1-Inputs!T7)*D20/Prices!D17</x:f>
        <x:v>15625</x:v>
      </x:c>
      <x:c r="F20" s="229" t="n">
        <x:f>Inputs!P7</x:f>
        <x:v>1</x:v>
      </x:c>
      <x:c r="G20" s="231" t="n">
        <x:f>Prices!E17</x:f>
        <x:v>8</x:v>
      </x:c>
      <x:c r="H20" s="227" t="n">
        <x:f>E20*F20</x:f>
        <x:v>15625</x:v>
      </x:c>
      <x:c r="I20" s="227" t="n">
        <x:f>H20*G20</x:f>
        <x:v>125000</x:v>
      </x:c>
      <x:c r="J20" s="232" t="n">
        <x:v>1875</x:v>
      </x:c>
      <x:c r="K20" s="227" t="n">
        <x:f>E20*'Goods'!$C7</x:f>
        <x:v>13281.25</x:v>
      </x:c>
      <x:c r="L20" s="232" t="n">
        <x:v>0</x:v>
      </x:c>
      <x:c r="M20" s="232" t="n">
        <x:v>0</x:v>
      </x:c>
      <x:c r="N20" s="233" t="n">
        <x:v>0.02</x:v>
      </x:c>
      <x:c r="O20" s="227" t="n">
        <x:f>(J20+(H20+M20)/2)*N20</x:f>
        <x:v>193.75</x:v>
      </x:c>
      <x:c r="P20" s="227" t="n">
        <x:f>SUM(J20,H20,M20)-SUM(K20:L20)-O20</x:f>
        <x:v>4025</x:v>
      </x:c>
      <x:c r="Q20" s="227" t="n">
        <x:f>L20*G20</x:f>
        <x:v>0</x:v>
      </x:c>
      <x:c r="R20" s="227" t="n">
        <x:f>K20*G20</x:f>
        <x:v>106250</x:v>
      </x:c>
      <x:c r="S20" s="227" t="n">
        <x:f>M20*G20</x:f>
        <x:v>0</x:v>
      </x:c>
      <x:c r="T20" s="227" t="n">
        <x:f>O20*G20</x:f>
        <x:v>1550</x:v>
      </x:c>
      <x:c r="U20" s="227" t="n">
        <x:f>P20*G20</x:f>
        <x:v>32200</x:v>
      </x:c>
      <x:c r="V20" s="227" t="n">
        <x:f>J20+H20+M20-K20-L20-O20-P20</x:f>
        <x:v>0</x:v>
      </x:c>
    </x:row>
    <x:row r="21" ht="29" customHeight="1">
      <x:c r="A21" s="222" t="str">
        <x:v>Riverlands</x:v>
      </x:c>
      <x:c r="B21" s="227" t="str">
        <x:v>Wine</x:v>
      </x:c>
      <x:c r="C21" s="227" t="str">
        <x:v>gallons, common equivalent</x:v>
      </x:c>
      <x:c r="D21" s="230" t="n">
        <x:v>0.05</x:v>
      </x:c>
      <x:c r="E21" s="227" t="n">
        <x:f>Inputs!S7*(1-Inputs!T7)*D21/Prices!D15</x:f>
        <x:v>208333.33333333334</x:v>
      </x:c>
      <x:c r="F21" s="229" t="n">
        <x:f>Inputs!P7</x:f>
        <x:v>1</x:v>
      </x:c>
      <x:c r="G21" s="231" t="n">
        <x:f>Prices!E15</x:f>
        <x:v>0.12</x:v>
      </x:c>
      <x:c r="H21" s="227" t="n">
        <x:f>E21*F21</x:f>
        <x:v>208333.33333333334</x:v>
      </x:c>
      <x:c r="I21" s="227" t="n">
        <x:f>H21*G21</x:f>
        <x:v>25000</x:v>
      </x:c>
      <x:c r="J21" s="232" t="n">
        <x:v>25000</x:v>
      </x:c>
      <x:c r="K21" s="227" t="n">
        <x:f>E21*'Goods'!$C7</x:f>
        <x:v>177083.33333333334</x:v>
      </x:c>
      <x:c r="L21" s="232" t="n">
        <x:v>0</x:v>
      </x:c>
      <x:c r="M21" s="232" t="n">
        <x:v>0</x:v>
      </x:c>
      <x:c r="N21" s="233" t="n">
        <x:v>0.04</x:v>
      </x:c>
      <x:c r="O21" s="227" t="n">
        <x:f>(J21+(H21+M21)/2)*N21</x:f>
        <x:v>5166.666666666667</x:v>
      </x:c>
      <x:c r="P21" s="227" t="n">
        <x:f>SUM(J21,H21,M21)-SUM(K21:L21)-O21</x:f>
        <x:v>51083.333333333336</x:v>
      </x:c>
      <x:c r="Q21" s="227" t="n">
        <x:f>L21*G21</x:f>
        <x:v>0</x:v>
      </x:c>
      <x:c r="R21" s="227" t="n">
        <x:f>K21*G21</x:f>
        <x:v>21250</x:v>
      </x:c>
      <x:c r="S21" s="227" t="n">
        <x:f>M21*G21</x:f>
        <x:v>0</x:v>
      </x:c>
      <x:c r="T21" s="227" t="n">
        <x:f>O21*G21</x:f>
        <x:v>620</x:v>
      </x:c>
      <x:c r="U21" s="227" t="n">
        <x:f>P21*G21</x:f>
        <x:v>6130</x:v>
      </x:c>
      <x:c r="V21" s="227" t="n">
        <x:f>J21+H21+M21-K21-L21-O21-P21</x:f>
        <x:v>0</x:v>
      </x:c>
    </x:row>
    <x:row r="22" ht="29" customHeight="1">
      <x:c r="A22" s="222" t="str">
        <x:v>Riverlands</x:v>
      </x:c>
      <x:c r="B22" s="227" t="str">
        <x:v>Cloth</x:v>
      </x:c>
      <x:c r="C22" s="227" t="str">
        <x:v>yards, coarse wool equivalent</x:v>
      </x:c>
      <x:c r="D22" s="230" t="n">
        <x:v>0.1</x:v>
      </x:c>
      <x:c r="E22" s="227" t="n">
        <x:f>Inputs!S7*(1-Inputs!T7)*D22/Prices!D52</x:f>
        <x:v>625000</x:v>
      </x:c>
      <x:c r="F22" s="229" t="n">
        <x:f>Inputs!P7</x:f>
        <x:v>1</x:v>
      </x:c>
      <x:c r="G22" s="231" t="n">
        <x:f>Prices!E52</x:f>
        <x:v>0.08</x:v>
      </x:c>
      <x:c r="H22" s="227" t="n">
        <x:f>E22*F22</x:f>
        <x:v>625000</x:v>
      </x:c>
      <x:c r="I22" s="227" t="n">
        <x:f>H22*G22</x:f>
        <x:v>50000</x:v>
      </x:c>
      <x:c r="J22" s="232" t="n">
        <x:v>75000</x:v>
      </x:c>
      <x:c r="K22" s="227" t="n">
        <x:f>E22*'Goods'!$C7</x:f>
        <x:v>531250</x:v>
      </x:c>
      <x:c r="L22" s="232" t="n">
        <x:v>0</x:v>
      </x:c>
      <x:c r="M22" s="232" t="n">
        <x:v>0</x:v>
      </x:c>
      <x:c r="N22" s="233" t="n">
        <x:v>0.02</x:v>
      </x:c>
      <x:c r="O22" s="227" t="n">
        <x:f>(J22+(H22+M22)/2)*N22</x:f>
        <x:v>7750</x:v>
      </x:c>
      <x:c r="P22" s="227" t="n">
        <x:f>SUM(J22,H22,M22)-SUM(K22:L22)-O22</x:f>
        <x:v>161000</x:v>
      </x:c>
      <x:c r="Q22" s="227" t="n">
        <x:f>L22*G22</x:f>
        <x:v>0</x:v>
      </x:c>
      <x:c r="R22" s="227" t="n">
        <x:f>K22*G22</x:f>
        <x:v>42500</x:v>
      </x:c>
      <x:c r="S22" s="227" t="n">
        <x:f>M22*G22</x:f>
        <x:v>0</x:v>
      </x:c>
      <x:c r="T22" s="227" t="n">
        <x:f>O22*G22</x:f>
        <x:v>620</x:v>
      </x:c>
      <x:c r="U22" s="227" t="n">
        <x:f>P22*G22</x:f>
        <x:v>12880</x:v>
      </x:c>
      <x:c r="V22" s="227" t="n">
        <x:f>J22+H22+M22-K22-L22-O22-P22</x:f>
        <x:v>0</x:v>
      </x:c>
    </x:row>
    <x:row r="23" ht="29" customHeight="1">
      <x:c r="A23" s="222" t="str">
        <x:v>Riverlands</x:v>
      </x:c>
      <x:c r="B23" s="227" t="str">
        <x:v>Timber</x:v>
      </x:c>
      <x:c r="C23" s="227" t="str">
        <x:v>100 board feet</x:v>
      </x:c>
      <x:c r="D23" s="230" t="n">
        <x:v>0.05</x:v>
      </x:c>
      <x:c r="E23" s="227" t="n">
        <x:f>Inputs!S7*(1-Inputs!T7)*D23/Prices!D22</x:f>
        <x:v>13888.888888888889</x:v>
      </x:c>
      <x:c r="F23" s="229" t="n">
        <x:f>Inputs!P7</x:f>
        <x:v>1</x:v>
      </x:c>
      <x:c r="G23" s="231" t="n">
        <x:f>Prices!E22</x:f>
        <x:v>1.8</x:v>
      </x:c>
      <x:c r="H23" s="227" t="n">
        <x:f>E23*F23</x:f>
        <x:v>13888.888888888889</x:v>
      </x:c>
      <x:c r="I23" s="227" t="n">
        <x:f>H23*G23</x:f>
        <x:v>25000</x:v>
      </x:c>
      <x:c r="J23" s="232" t="n">
        <x:v>1666.67</x:v>
      </x:c>
      <x:c r="K23" s="227" t="n">
        <x:f>E23*'Goods'!$C7</x:f>
        <x:v>11805.555555555555</x:v>
      </x:c>
      <x:c r="L23" s="232" t="n">
        <x:v>0</x:v>
      </x:c>
      <x:c r="M23" s="232" t="n">
        <x:v>0</x:v>
      </x:c>
      <x:c r="N23" s="233" t="n">
        <x:v>0.01</x:v>
      </x:c>
      <x:c r="O23" s="227" t="n">
        <x:f>(J23+(H23+M23)/2)*N23</x:f>
        <x:v>86.11114444444443</x:v>
      </x:c>
      <x:c r="P23" s="227" t="n">
        <x:f>SUM(J23,H23,M23)-SUM(K23:L23)-O23</x:f>
        <x:v>3663.8921888888895</x:v>
      </x:c>
      <x:c r="Q23" s="227" t="n">
        <x:f>L23*G23</x:f>
        <x:v>0</x:v>
      </x:c>
      <x:c r="R23" s="227" t="n">
        <x:f>K23*G23</x:f>
        <x:v>21250</x:v>
      </x:c>
      <x:c r="S23" s="227" t="n">
        <x:f>M23*G23</x:f>
        <x:v>0</x:v>
      </x:c>
      <x:c r="T23" s="227" t="n">
        <x:f>O23*G23</x:f>
        <x:v>155.00006</x:v>
      </x:c>
      <x:c r="U23" s="227" t="n">
        <x:f>P23*G23</x:f>
        <x:v>6595.005940000001</x:v>
      </x:c>
      <x:c r="V23" s="227" t="n">
        <x:f>J23+H23+M23-K23-L23-O23-P23</x:f>
        <x:v>0</x:v>
      </x:c>
    </x:row>
    <x:row r="24" ht="29" customHeight="1">
      <x:c r="A24" s="222" t="str">
        <x:v>Riverlands</x:v>
      </x:c>
      <x:c r="B24" s="227" t="str">
        <x:v>Iron</x:v>
      </x:c>
      <x:c r="C24" s="227" t="str">
        <x:v>hundredweight</x:v>
      </x:c>
      <x:c r="D24" s="230" t="n">
        <x:v>0.03</x:v>
      </x:c>
      <x:c r="E24" s="227" t="n">
        <x:f>Inputs!S7*(1-Inputs!T7)*D24/Prices!D21</x:f>
        <x:v>3750</x:v>
      </x:c>
      <x:c r="F24" s="229" t="n">
        <x:f>Inputs!P7</x:f>
        <x:v>1</x:v>
      </x:c>
      <x:c r="G24" s="231" t="n">
        <x:f>Prices!E21</x:f>
        <x:v>4</x:v>
      </x:c>
      <x:c r="H24" s="227" t="n">
        <x:f>E24*F24</x:f>
        <x:v>3750</x:v>
      </x:c>
      <x:c r="I24" s="227" t="n">
        <x:f>H24*G24</x:f>
        <x:v>15000</x:v>
      </x:c>
      <x:c r="J24" s="232" t="n">
        <x:v>450</x:v>
      </x:c>
      <x:c r="K24" s="227" t="n">
        <x:f>E24*'Goods'!$C7</x:f>
        <x:v>3187.5</x:v>
      </x:c>
      <x:c r="L24" s="232" t="n">
        <x:v>0</x:v>
      </x:c>
      <x:c r="M24" s="232" t="n">
        <x:v>0</x:v>
      </x:c>
      <x:c r="N24" s="233" t="n">
        <x:v>0.005</x:v>
      </x:c>
      <x:c r="O24" s="227" t="n">
        <x:f>(J24+(H24+M24)/2)*N24</x:f>
        <x:v>11.625</x:v>
      </x:c>
      <x:c r="P24" s="227" t="n">
        <x:f>SUM(J24,H24,M24)-SUM(K24:L24)-O24</x:f>
        <x:v>1000.875</x:v>
      </x:c>
      <x:c r="Q24" s="227" t="n">
        <x:f>L24*G24</x:f>
        <x:v>0</x:v>
      </x:c>
      <x:c r="R24" s="227" t="n">
        <x:f>K24*G24</x:f>
        <x:v>12750</x:v>
      </x:c>
      <x:c r="S24" s="227" t="n">
        <x:f>M24*G24</x:f>
        <x:v>0</x:v>
      </x:c>
      <x:c r="T24" s="227" t="n">
        <x:f>O24*G24</x:f>
        <x:v>46.5</x:v>
      </x:c>
      <x:c r="U24" s="227" t="n">
        <x:f>P24*G24</x:f>
        <x:v>4003.5</x:v>
      </x:c>
      <x:c r="V24" s="227" t="n">
        <x:f>J24+H24+M24-K24-L24-O24-P24</x:f>
        <x:v>0</x:v>
      </x:c>
    </x:row>
    <x:row r="25" ht="29" customHeight="1">
      <x:c r="A25" s="222" t="str">
        <x:v>Riverlands</x:v>
      </x:c>
      <x:c r="B25" s="227" t="str">
        <x:v>Preserved fish</x:v>
      </x:c>
      <x:c r="C25" s="227" t="str">
        <x:v>100 lb planning loads</x:v>
      </x:c>
      <x:c r="D25" s="230" t="n">
        <x:v>0.07</x:v>
      </x:c>
      <x:c r="E25" s="227" t="n">
        <x:f>Inputs!S7*(1-Inputs!T7)*D25/Prices!D53</x:f>
        <x:v>8750</x:v>
      </x:c>
      <x:c r="F25" s="229" t="n">
        <x:f>Inputs!P7</x:f>
        <x:v>1</x:v>
      </x:c>
      <x:c r="G25" s="231" t="n">
        <x:f>Prices!E53</x:f>
        <x:v>4</x:v>
      </x:c>
      <x:c r="H25" s="227" t="n">
        <x:f>E25*F25</x:f>
        <x:v>8750</x:v>
      </x:c>
      <x:c r="I25" s="227" t="n">
        <x:f>H25*G25</x:f>
        <x:v>35000</x:v>
      </x:c>
      <x:c r="J25" s="232" t="n">
        <x:v>1050</x:v>
      </x:c>
      <x:c r="K25" s="227" t="n">
        <x:f>E25*'Goods'!$C7</x:f>
        <x:v>7437.5</x:v>
      </x:c>
      <x:c r="L25" s="232" t="n">
        <x:v>0</x:v>
      </x:c>
      <x:c r="M25" s="232" t="n">
        <x:v>0</x:v>
      </x:c>
      <x:c r="N25" s="233" t="n">
        <x:v>0.05</x:v>
      </x:c>
      <x:c r="O25" s="227" t="n">
        <x:f>(J25+(H25+M25)/2)*N25</x:f>
        <x:v>271.25</x:v>
      </x:c>
      <x:c r="P25" s="227" t="n">
        <x:f>SUM(J25,H25,M25)-SUM(K25:L25)-O25</x:f>
        <x:v>2091.25</x:v>
      </x:c>
      <x:c r="Q25" s="227" t="n">
        <x:f>L25*G25</x:f>
        <x:v>0</x:v>
      </x:c>
      <x:c r="R25" s="227" t="n">
        <x:f>K25*G25</x:f>
        <x:v>29750</x:v>
      </x:c>
      <x:c r="S25" s="227" t="n">
        <x:f>M25*G25</x:f>
        <x:v>0</x:v>
      </x:c>
      <x:c r="T25" s="227" t="n">
        <x:f>O25*G25</x:f>
        <x:v>1085</x:v>
      </x:c>
      <x:c r="U25" s="227" t="n">
        <x:f>P25*G25</x:f>
        <x:v>8365</x:v>
      </x:c>
      <x:c r="V25" s="227" t="n">
        <x:f>J25+H25+M25-K25-L25-O25-P25</x:f>
        <x:v>0</x:v>
      </x:c>
    </x:row>
    <x:row r="26" ht="29" customHeight="1">
      <x:c r="A26" s="222" t="str">
        <x:v>Westerlands</x:v>
      </x:c>
      <x:c r="B26" s="227" t="str">
        <x:v>Wheat</x:v>
      </x:c>
      <x:c r="C26" s="227" t="str">
        <x:v>bushels</x:v>
      </x:c>
      <x:c r="D26" s="230" t="n">
        <x:v>0.35</x:v>
      </x:c>
      <x:c r="E26" s="227" t="n">
        <x:f>Inputs!S8*(1-Inputs!T8)*D26/Prices!D8</x:f>
        <x:v>886666.6666666665</x:v>
      </x:c>
      <x:c r="F26" s="229" t="n">
        <x:f>Inputs!P8</x:f>
        <x:v>1</x:v>
      </x:c>
      <x:c r="G26" s="231" t="n">
        <x:f>Prices!E8</x:f>
        <x:v>0.15</x:v>
      </x:c>
      <x:c r="H26" s="227" t="n">
        <x:f>E26*F26</x:f>
        <x:v>886666.6666666665</x:v>
      </x:c>
      <x:c r="I26" s="227" t="n">
        <x:f>H26*G26</x:f>
        <x:v>132999.99999999997</x:v>
      </x:c>
      <x:c r="J26" s="232" t="n">
        <x:f>Inputs!K8</x:f>
        <x:v>250000</x:v>
      </x:c>
      <x:c r="K26" s="227" t="n">
        <x:f>E26*'Goods'!$C8</x:f>
        <x:v>753666.6666666665</x:v>
      </x:c>
      <x:c r="L26" s="232" t="n">
        <x:v>0</x:v>
      </x:c>
      <x:c r="M26" s="232" t="n">
        <x:v>0</x:v>
      </x:c>
      <x:c r="N26" s="233" t="n">
        <x:v>0.05</x:v>
      </x:c>
      <x:c r="O26" s="227" t="n">
        <x:f>(J26+(H26+M26)/2)*N26</x:f>
        <x:v>34666.666666666664</x:v>
      </x:c>
      <x:c r="P26" s="227" t="n">
        <x:f>SUM(J26,H26,M26)-SUM(K26:L26)-O26</x:f>
        <x:v>348333.3333333333</x:v>
      </x:c>
      <x:c r="Q26" s="227" t="n">
        <x:f>L26*G26</x:f>
        <x:v>0</x:v>
      </x:c>
      <x:c r="R26" s="227" t="n">
        <x:f>K26*G26</x:f>
        <x:v>113049.99999999997</x:v>
      </x:c>
      <x:c r="S26" s="227" t="n">
        <x:f>M26*G26</x:f>
        <x:v>0</x:v>
      </x:c>
      <x:c r="T26" s="227" t="n">
        <x:f>O26*G26</x:f>
        <x:v>5199.999999999999</x:v>
      </x:c>
      <x:c r="U26" s="227" t="n">
        <x:f>P26*G26</x:f>
        <x:v>52249.99999999999</x:v>
      </x:c>
      <x:c r="V26" s="227" t="n">
        <x:f>J26+H26+M26-K26-L26-O26-P26</x:f>
        <x:v>0</x:v>
      </x:c>
    </x:row>
    <x:row r="27" ht="29" customHeight="1">
      <x:c r="A27" s="222" t="str">
        <x:v>Westerlands</x:v>
      </x:c>
      <x:c r="B27" s="227" t="str">
        <x:v>Livestock basket</x:v>
      </x:c>
      <x:c r="C27" s="227" t="str">
        <x:v>cow-equivalent animals</x:v>
      </x:c>
      <x:c r="D27" s="230" t="n">
        <x:v>0.15</x:v>
      </x:c>
      <x:c r="E27" s="227" t="n">
        <x:f>Inputs!S8*(1-Inputs!T8)*D27/Prices!D17</x:f>
        <x:v>7124.999999999999</x:v>
      </x:c>
      <x:c r="F27" s="229" t="n">
        <x:f>Inputs!P8</x:f>
        <x:v>1</x:v>
      </x:c>
      <x:c r="G27" s="231" t="n">
        <x:f>Prices!E17</x:f>
        <x:v>8</x:v>
      </x:c>
      <x:c r="H27" s="227" t="n">
        <x:f>E27*F27</x:f>
        <x:v>7124.999999999999</x:v>
      </x:c>
      <x:c r="I27" s="227" t="n">
        <x:f>H27*G27</x:f>
        <x:v>56999.99999999999</x:v>
      </x:c>
      <x:c r="J27" s="232" t="n">
        <x:v>855</x:v>
      </x:c>
      <x:c r="K27" s="227" t="n">
        <x:f>E27*'Goods'!$C8</x:f>
        <x:v>6056.249999999999</x:v>
      </x:c>
      <x:c r="L27" s="232" t="n">
        <x:v>0</x:v>
      </x:c>
      <x:c r="M27" s="232" t="n">
        <x:v>0</x:v>
      </x:c>
      <x:c r="N27" s="233" t="n">
        <x:v>0.02</x:v>
      </x:c>
      <x:c r="O27" s="227" t="n">
        <x:f>(J27+(H27+M27)/2)*N27</x:f>
        <x:v>88.35000000000001</x:v>
      </x:c>
      <x:c r="P27" s="227" t="n">
        <x:f>SUM(J27,H27,M27)-SUM(K27:L27)-O27</x:f>
        <x:v>1835.4</x:v>
      </x:c>
      <x:c r="Q27" s="227" t="n">
        <x:f>L27*G27</x:f>
        <x:v>0</x:v>
      </x:c>
      <x:c r="R27" s="227" t="n">
        <x:f>K27*G27</x:f>
        <x:v>48449.99999999999</x:v>
      </x:c>
      <x:c r="S27" s="227" t="n">
        <x:f>M27*G27</x:f>
        <x:v>0</x:v>
      </x:c>
      <x:c r="T27" s="227" t="n">
        <x:f>O27*G27</x:f>
        <x:v>706.8000000000001</x:v>
      </x:c>
      <x:c r="U27" s="227" t="n">
        <x:f>P27*G27</x:f>
        <x:v>14683.2</x:v>
      </x:c>
      <x:c r="V27" s="227" t="n">
        <x:f>J27+H27+M27-K27-L27-O27-P27</x:f>
        <x:v>0</x:v>
      </x:c>
    </x:row>
    <x:row r="28" ht="29" customHeight="1">
      <x:c r="A28" s="222" t="str">
        <x:v>Westerlands</x:v>
      </x:c>
      <x:c r="B28" s="227" t="str">
        <x:v>Wine</x:v>
      </x:c>
      <x:c r="C28" s="227" t="str">
        <x:v>gallons, common equivalent</x:v>
      </x:c>
      <x:c r="D28" s="230" t="n">
        <x:v>0.05</x:v>
      </x:c>
      <x:c r="E28" s="227" t="n">
        <x:f>Inputs!S8*(1-Inputs!T8)*D28/Prices!D15</x:f>
        <x:v>158333.3333333333</x:v>
      </x:c>
      <x:c r="F28" s="229" t="n">
        <x:f>Inputs!P8</x:f>
        <x:v>1</x:v>
      </x:c>
      <x:c r="G28" s="231" t="n">
        <x:f>Prices!E15</x:f>
        <x:v>0.12</x:v>
      </x:c>
      <x:c r="H28" s="227" t="n">
        <x:f>E28*F28</x:f>
        <x:v>158333.3333333333</x:v>
      </x:c>
      <x:c r="I28" s="227" t="n">
        <x:f>H28*G28</x:f>
        <x:v>18999.999999999996</x:v>
      </x:c>
      <x:c r="J28" s="232" t="n">
        <x:v>19000</x:v>
      </x:c>
      <x:c r="K28" s="227" t="n">
        <x:f>E28*'Goods'!$C8</x:f>
        <x:v>134583.3333333333</x:v>
      </x:c>
      <x:c r="L28" s="232" t="n">
        <x:v>0</x:v>
      </x:c>
      <x:c r="M28" s="232" t="n">
        <x:v>0</x:v>
      </x:c>
      <x:c r="N28" s="233" t="n">
        <x:v>0.04</x:v>
      </x:c>
      <x:c r="O28" s="227" t="n">
        <x:f>(J28+(H28+M28)/2)*N28</x:f>
        <x:v>3926.6666666666665</x:v>
      </x:c>
      <x:c r="P28" s="227" t="n">
        <x:f>SUM(J28,H28,M28)-SUM(K28:L28)-O28</x:f>
        <x:v>38823.333333333336</x:v>
      </x:c>
      <x:c r="Q28" s="227" t="n">
        <x:f>L28*G28</x:f>
        <x:v>0</x:v>
      </x:c>
      <x:c r="R28" s="227" t="n">
        <x:f>K28*G28</x:f>
        <x:v>16149.999999999996</x:v>
      </x:c>
      <x:c r="S28" s="227" t="n">
        <x:f>M28*G28</x:f>
        <x:v>0</x:v>
      </x:c>
      <x:c r="T28" s="227" t="n">
        <x:f>O28*G28</x:f>
        <x:v>471.2</x:v>
      </x:c>
      <x:c r="U28" s="227" t="n">
        <x:f>P28*G28</x:f>
        <x:v>4658.8</x:v>
      </x:c>
      <x:c r="V28" s="227" t="n">
        <x:f>J28+H28+M28-K28-L28-O28-P28</x:f>
        <x:v>0</x:v>
      </x:c>
    </x:row>
    <x:row r="29" ht="29" customHeight="1">
      <x:c r="A29" s="222" t="str">
        <x:v>Westerlands</x:v>
      </x:c>
      <x:c r="B29" s="227" t="str">
        <x:v>Cloth</x:v>
      </x:c>
      <x:c r="C29" s="227" t="str">
        <x:v>yards, coarse wool equivalent</x:v>
      </x:c>
      <x:c r="D29" s="230" t="n">
        <x:v>0.1</x:v>
      </x:c>
      <x:c r="E29" s="227" t="n">
        <x:f>Inputs!S8*(1-Inputs!T8)*D29/Prices!D52</x:f>
        <x:v>474999.9999999999</x:v>
      </x:c>
      <x:c r="F29" s="229" t="n">
        <x:f>Inputs!P8</x:f>
        <x:v>1</x:v>
      </x:c>
      <x:c r="G29" s="231" t="n">
        <x:f>Prices!E52</x:f>
        <x:v>0.08</x:v>
      </x:c>
      <x:c r="H29" s="227" t="n">
        <x:f>E29*F29</x:f>
        <x:v>474999.9999999999</x:v>
      </x:c>
      <x:c r="I29" s="227" t="n">
        <x:f>H29*G29</x:f>
        <x:v>37999.99999999999</x:v>
      </x:c>
      <x:c r="J29" s="232" t="n">
        <x:v>57000</x:v>
      </x:c>
      <x:c r="K29" s="227" t="n">
        <x:f>E29*'Goods'!$C8</x:f>
        <x:v>403749.9999999999</x:v>
      </x:c>
      <x:c r="L29" s="232" t="n">
        <x:v>0</x:v>
      </x:c>
      <x:c r="M29" s="232" t="n">
        <x:v>0</x:v>
      </x:c>
      <x:c r="N29" s="233" t="n">
        <x:v>0.02</x:v>
      </x:c>
      <x:c r="O29" s="227" t="n">
        <x:f>(J29+(H29+M29)/2)*N29</x:f>
        <x:v>5889.999999999999</x:v>
      </x:c>
      <x:c r="P29" s="227" t="n">
        <x:f>SUM(J29,H29,M29)-SUM(K29:L29)-O29</x:f>
        <x:v>122360</x:v>
      </x:c>
      <x:c r="Q29" s="227" t="n">
        <x:f>L29*G29</x:f>
        <x:v>0</x:v>
      </x:c>
      <x:c r="R29" s="227" t="n">
        <x:f>K29*G29</x:f>
        <x:v>32299.999999999993</x:v>
      </x:c>
      <x:c r="S29" s="227" t="n">
        <x:f>M29*G29</x:f>
        <x:v>0</x:v>
      </x:c>
      <x:c r="T29" s="227" t="n">
        <x:f>O29*G29</x:f>
        <x:v>471.19999999999993</x:v>
      </x:c>
      <x:c r="U29" s="227" t="n">
        <x:f>P29*G29</x:f>
        <x:v>9788.800000000001</x:v>
      </x:c>
      <x:c r="V29" s="227" t="n">
        <x:f>J29+H29+M29-K29-L29-O29-P29</x:f>
        <x:v>0</x:v>
      </x:c>
    </x:row>
    <x:row r="30" ht="29" customHeight="1">
      <x:c r="A30" s="222" t="str">
        <x:v>Westerlands</x:v>
      </x:c>
      <x:c r="B30" s="227" t="str">
        <x:v>Timber</x:v>
      </x:c>
      <x:c r="C30" s="227" t="str">
        <x:v>100 board feet</x:v>
      </x:c>
      <x:c r="D30" s="230" t="n">
        <x:v>0.1</x:v>
      </x:c>
      <x:c r="E30" s="227" t="n">
        <x:f>Inputs!S8*(1-Inputs!T8)*D30/Prices!D22</x:f>
        <x:v>21111.111111111106</x:v>
      </x:c>
      <x:c r="F30" s="229" t="n">
        <x:f>Inputs!P8</x:f>
        <x:v>1</x:v>
      </x:c>
      <x:c r="G30" s="231" t="n">
        <x:f>Prices!E22</x:f>
        <x:v>1.8</x:v>
      </x:c>
      <x:c r="H30" s="227" t="n">
        <x:f>E30*F30</x:f>
        <x:v>21111.111111111106</x:v>
      </x:c>
      <x:c r="I30" s="227" t="n">
        <x:f>H30*G30</x:f>
        <x:v>37999.99999999999</x:v>
      </x:c>
      <x:c r="J30" s="232" t="n">
        <x:v>2533.33</x:v>
      </x:c>
      <x:c r="K30" s="227" t="n">
        <x:f>E30*'Goods'!$C8</x:f>
        <x:v>17944.444444444438</x:v>
      </x:c>
      <x:c r="L30" s="232" t="n">
        <x:v>0</x:v>
      </x:c>
      <x:c r="M30" s="232" t="n">
        <x:v>0</x:v>
      </x:c>
      <x:c r="N30" s="233" t="n">
        <x:v>0.01</x:v>
      </x:c>
      <x:c r="O30" s="227" t="n">
        <x:f>(J30+(H30+M30)/2)*N30</x:f>
        <x:v>130.88885555555552</x:v>
      </x:c>
      <x:c r="P30" s="227" t="n">
        <x:f>SUM(J30,H30,M30)-SUM(K30:L30)-O30</x:f>
        <x:v>5569.10781111111</x:v>
      </x:c>
      <x:c r="Q30" s="227" t="n">
        <x:f>L30*G30</x:f>
        <x:v>0</x:v>
      </x:c>
      <x:c r="R30" s="227" t="n">
        <x:f>K30*G30</x:f>
        <x:v>32299.99999999999</x:v>
      </x:c>
      <x:c r="S30" s="227" t="n">
        <x:f>M30*G30</x:f>
        <x:v>0</x:v>
      </x:c>
      <x:c r="T30" s="227" t="n">
        <x:f>O30*G30</x:f>
        <x:v>235.59993999999995</x:v>
      </x:c>
      <x:c r="U30" s="227" t="n">
        <x:f>P30*G30</x:f>
        <x:v>10024.394059999999</x:v>
      </x:c>
      <x:c r="V30" s="227" t="n">
        <x:f>J30+H30+M30-K30-L30-O30-P30</x:f>
        <x:v>0</x:v>
      </x:c>
    </x:row>
    <x:row r="31" ht="29" customHeight="1">
      <x:c r="A31" s="222" t="str">
        <x:v>Westerlands</x:v>
      </x:c>
      <x:c r="B31" s="227" t="str">
        <x:v>Iron</x:v>
      </x:c>
      <x:c r="C31" s="227" t="str">
        <x:v>hundredweight</x:v>
      </x:c>
      <x:c r="D31" s="230" t="n">
        <x:v>0.2</x:v>
      </x:c>
      <x:c r="E31" s="227" t="n">
        <x:f>Inputs!S8*(1-Inputs!T8)*D31/Prices!D21</x:f>
        <x:v>18999.999999999996</x:v>
      </x:c>
      <x:c r="F31" s="229" t="n">
        <x:f>Inputs!P8</x:f>
        <x:v>1</x:v>
      </x:c>
      <x:c r="G31" s="231" t="n">
        <x:f>Prices!E21</x:f>
        <x:v>4</x:v>
      </x:c>
      <x:c r="H31" s="227" t="n">
        <x:f>E31*F31</x:f>
        <x:v>18999.999999999996</x:v>
      </x:c>
      <x:c r="I31" s="227" t="n">
        <x:f>H31*G31</x:f>
        <x:v>75999.99999999999</x:v>
      </x:c>
      <x:c r="J31" s="232" t="n">
        <x:v>2280</x:v>
      </x:c>
      <x:c r="K31" s="227" t="n">
        <x:f>E31*'Goods'!$C8</x:f>
        <x:v>16149.999999999996</x:v>
      </x:c>
      <x:c r="L31" s="232" t="n">
        <x:v>0</x:v>
      </x:c>
      <x:c r="M31" s="232" t="n">
        <x:v>0</x:v>
      </x:c>
      <x:c r="N31" s="233" t="n">
        <x:v>0.005</x:v>
      </x:c>
      <x:c r="O31" s="227" t="n">
        <x:f>(J31+(H31+M31)/2)*N31</x:f>
        <x:v>58.89999999999999</x:v>
      </x:c>
      <x:c r="P31" s="227" t="n">
        <x:f>SUM(J31,H31,M31)-SUM(K31:L31)-O31</x:f>
        <x:v>5071.1</x:v>
      </x:c>
      <x:c r="Q31" s="227" t="n">
        <x:f>L31*G31</x:f>
        <x:v>0</x:v>
      </x:c>
      <x:c r="R31" s="227" t="n">
        <x:f>K31*G31</x:f>
        <x:v>64599.999999999985</x:v>
      </x:c>
      <x:c r="S31" s="227" t="n">
        <x:f>M31*G31</x:f>
        <x:v>0</x:v>
      </x:c>
      <x:c r="T31" s="227" t="n">
        <x:f>O31*G31</x:f>
        <x:v>235.59999999999997</x:v>
      </x:c>
      <x:c r="U31" s="227" t="n">
        <x:f>P31*G31</x:f>
        <x:v>20284.4</x:v>
      </x:c>
      <x:c r="V31" s="227" t="n">
        <x:f>J31+H31+M31-K31-L31-O31-P31</x:f>
        <x:v>0</x:v>
      </x:c>
    </x:row>
    <x:row r="32" ht="29" customHeight="1">
      <x:c r="A32" s="222" t="str">
        <x:v>Westerlands</x:v>
      </x:c>
      <x:c r="B32" s="227" t="str">
        <x:v>Preserved fish</x:v>
      </x:c>
      <x:c r="C32" s="227" t="str">
        <x:v>100 lb planning loads</x:v>
      </x:c>
      <x:c r="D32" s="230" t="n">
        <x:v>0.05</x:v>
      </x:c>
      <x:c r="E32" s="227" t="n">
        <x:f>Inputs!S8*(1-Inputs!T8)*D32/Prices!D53</x:f>
        <x:v>4749.999999999999</x:v>
      </x:c>
      <x:c r="F32" s="229" t="n">
        <x:f>Inputs!P8</x:f>
        <x:v>1</x:v>
      </x:c>
      <x:c r="G32" s="231" t="n">
        <x:f>Prices!E53</x:f>
        <x:v>4</x:v>
      </x:c>
      <x:c r="H32" s="227" t="n">
        <x:f>E32*F32</x:f>
        <x:v>4749.999999999999</x:v>
      </x:c>
      <x:c r="I32" s="227" t="n">
        <x:f>H32*G32</x:f>
        <x:v>18999.999999999996</x:v>
      </x:c>
      <x:c r="J32" s="232" t="n">
        <x:v>570</x:v>
      </x:c>
      <x:c r="K32" s="227" t="n">
        <x:f>E32*'Goods'!$C8</x:f>
        <x:v>4037.499999999999</x:v>
      </x:c>
      <x:c r="L32" s="232" t="n">
        <x:v>0</x:v>
      </x:c>
      <x:c r="M32" s="232" t="n">
        <x:v>0</x:v>
      </x:c>
      <x:c r="N32" s="233" t="n">
        <x:v>0.05</x:v>
      </x:c>
      <x:c r="O32" s="227" t="n">
        <x:f>(J32+(H32+M32)/2)*N32</x:f>
        <x:v>147.24999999999997</x:v>
      </x:c>
      <x:c r="P32" s="227" t="n">
        <x:f>SUM(J32,H32,M32)-SUM(K32:L32)-O32</x:f>
        <x:v>1135.25</x:v>
      </x:c>
      <x:c r="Q32" s="227" t="n">
        <x:f>L32*G32</x:f>
        <x:v>0</x:v>
      </x:c>
      <x:c r="R32" s="227" t="n">
        <x:f>K32*G32</x:f>
        <x:v>16149.999999999996</x:v>
      </x:c>
      <x:c r="S32" s="227" t="n">
        <x:f>M32*G32</x:f>
        <x:v>0</x:v>
      </x:c>
      <x:c r="T32" s="227" t="n">
        <x:f>O32*G32</x:f>
        <x:v>588.9999999999999</x:v>
      </x:c>
      <x:c r="U32" s="227" t="n">
        <x:f>P32*G32</x:f>
        <x:v>4541</x:v>
      </x:c>
      <x:c r="V32" s="227" t="n">
        <x:f>J32+H32+M32-K32-L32-O32-P32</x:f>
        <x:v>0</x:v>
      </x:c>
    </x:row>
    <x:row r="33" ht="29" customHeight="1">
      <x:c r="A33" s="222" t="str">
        <x:v>Reach</x:v>
      </x:c>
      <x:c r="B33" s="227" t="str">
        <x:v>Wheat</x:v>
      </x:c>
      <x:c r="C33" s="227" t="str">
        <x:v>bushels</x:v>
      </x:c>
      <x:c r="D33" s="230" t="n">
        <x:v>0.4</x:v>
      </x:c>
      <x:c r="E33" s="227" t="n">
        <x:f>Inputs!S9*(1-Inputs!T9)*D33/Prices!D8</x:f>
        <x:v>13520000</x:v>
      </x:c>
      <x:c r="F33" s="229" t="n">
        <x:f>Inputs!P9</x:f>
        <x:v>1</x:v>
      </x:c>
      <x:c r="G33" s="231" t="n">
        <x:f>Prices!E8</x:f>
        <x:v>0.15</x:v>
      </x:c>
      <x:c r="H33" s="227" t="n">
        <x:f>E33*F33</x:f>
        <x:v>13520000</x:v>
      </x:c>
      <x:c r="I33" s="227" t="n">
        <x:f>H33*G33</x:f>
        <x:v>2028000</x:v>
      </x:c>
      <x:c r="J33" s="232" t="n">
        <x:f>Inputs!K9</x:f>
        <x:v>600000</x:v>
      </x:c>
      <x:c r="K33" s="227" t="n">
        <x:f>E33*'Goods'!$C9</x:f>
        <x:v>11492000</x:v>
      </x:c>
      <x:c r="L33" s="232" t="n">
        <x:v>0</x:v>
      </x:c>
      <x:c r="M33" s="232" t="n">
        <x:v>0</x:v>
      </x:c>
      <x:c r="N33" s="233" t="n">
        <x:v>0.05</x:v>
      </x:c>
      <x:c r="O33" s="227" t="n">
        <x:f>(J33+(H33+M33)/2)*N33</x:f>
        <x:v>368000</x:v>
      </x:c>
      <x:c r="P33" s="227" t="n">
        <x:f>SUM(J33,H33,M33)-SUM(K33:L33)-O33</x:f>
        <x:v>2260000</x:v>
      </x:c>
      <x:c r="Q33" s="227" t="n">
        <x:f>L33*G33</x:f>
        <x:v>0</x:v>
      </x:c>
      <x:c r="R33" s="227" t="n">
        <x:f>K33*G33</x:f>
        <x:v>1723800</x:v>
      </x:c>
      <x:c r="S33" s="227" t="n">
        <x:f>M33*G33</x:f>
        <x:v>0</x:v>
      </x:c>
      <x:c r="T33" s="227" t="n">
        <x:f>O33*G33</x:f>
        <x:v>55200</x:v>
      </x:c>
      <x:c r="U33" s="227" t="n">
        <x:f>P33*G33</x:f>
        <x:v>339000</x:v>
      </x:c>
      <x:c r="V33" s="227" t="n">
        <x:f>J33+H33+M33-K33-L33-O33-P33</x:f>
        <x:v>0</x:v>
      </x:c>
    </x:row>
    <x:row r="34" ht="29" customHeight="1">
      <x:c r="A34" s="222" t="str">
        <x:v>Reach</x:v>
      </x:c>
      <x:c r="B34" s="227" t="str">
        <x:v>Livestock basket</x:v>
      </x:c>
      <x:c r="C34" s="227" t="str">
        <x:v>cow-equivalent animals</x:v>
      </x:c>
      <x:c r="D34" s="230" t="n">
        <x:v>0.15</x:v>
      </x:c>
      <x:c r="E34" s="227" t="n">
        <x:f>Inputs!S9*(1-Inputs!T9)*D34/Prices!D17</x:f>
        <x:v>95062.5</x:v>
      </x:c>
      <x:c r="F34" s="229" t="n">
        <x:f>Inputs!P9</x:f>
        <x:v>1</x:v>
      </x:c>
      <x:c r="G34" s="231" t="n">
        <x:f>Prices!E17</x:f>
        <x:v>8</x:v>
      </x:c>
      <x:c r="H34" s="227" t="n">
        <x:f>E34*F34</x:f>
        <x:v>95062.5</x:v>
      </x:c>
      <x:c r="I34" s="227" t="n">
        <x:f>H34*G34</x:f>
        <x:v>760500</x:v>
      </x:c>
      <x:c r="J34" s="232" t="n">
        <x:v>11407.5</x:v>
      </x:c>
      <x:c r="K34" s="227" t="n">
        <x:f>E34*'Goods'!$C9</x:f>
        <x:v>80803.125</x:v>
      </x:c>
      <x:c r="L34" s="232" t="n">
        <x:v>0</x:v>
      </x:c>
      <x:c r="M34" s="232" t="n">
        <x:v>0</x:v>
      </x:c>
      <x:c r="N34" s="233" t="n">
        <x:v>0.02</x:v>
      </x:c>
      <x:c r="O34" s="227" t="n">
        <x:f>(J34+(H34+M34)/2)*N34</x:f>
        <x:v>1178.775</x:v>
      </x:c>
      <x:c r="P34" s="227" t="n">
        <x:f>SUM(J34,H34,M34)-SUM(K34:L34)-O34</x:f>
        <x:v>24488.1</x:v>
      </x:c>
      <x:c r="Q34" s="227" t="n">
        <x:f>L34*G34</x:f>
        <x:v>0</x:v>
      </x:c>
      <x:c r="R34" s="227" t="n">
        <x:f>K34*G34</x:f>
        <x:v>646425</x:v>
      </x:c>
      <x:c r="S34" s="227" t="n">
        <x:f>M34*G34</x:f>
        <x:v>0</x:v>
      </x:c>
      <x:c r="T34" s="227" t="n">
        <x:f>O34*G34</x:f>
        <x:v>9430.2</x:v>
      </x:c>
      <x:c r="U34" s="227" t="n">
        <x:f>P34*G34</x:f>
        <x:v>195904.8</x:v>
      </x:c>
      <x:c r="V34" s="227" t="n">
        <x:f>J34+H34+M34-K34-L34-O34-P34</x:f>
        <x:v>0</x:v>
      </x:c>
    </x:row>
    <x:row r="35" ht="29" customHeight="1">
      <x:c r="A35" s="222" t="str">
        <x:v>Reach</x:v>
      </x:c>
      <x:c r="B35" s="227" t="str">
        <x:v>Wine</x:v>
      </x:c>
      <x:c r="C35" s="227" t="str">
        <x:v>gallons, common equivalent</x:v>
      </x:c>
      <x:c r="D35" s="230" t="n">
        <x:v>0.25</x:v>
      </x:c>
      <x:c r="E35" s="227" t="n">
        <x:f>Inputs!S9*(1-Inputs!T9)*D35/Prices!D15</x:f>
        <x:v>10562500</x:v>
      </x:c>
      <x:c r="F35" s="229" t="n">
        <x:f>Inputs!P9</x:f>
        <x:v>1</x:v>
      </x:c>
      <x:c r="G35" s="231" t="n">
        <x:f>Prices!E15</x:f>
        <x:v>0.12</x:v>
      </x:c>
      <x:c r="H35" s="227" t="n">
        <x:f>E35*F35</x:f>
        <x:v>10562500</x:v>
      </x:c>
      <x:c r="I35" s="227" t="n">
        <x:f>H35*G35</x:f>
        <x:v>1267500</x:v>
      </x:c>
      <x:c r="J35" s="232" t="n">
        <x:v>1267500</x:v>
      </x:c>
      <x:c r="K35" s="227" t="n">
        <x:f>E35*'Goods'!$C9</x:f>
        <x:v>8978125</x:v>
      </x:c>
      <x:c r="L35" s="232" t="n">
        <x:v>0</x:v>
      </x:c>
      <x:c r="M35" s="232" t="n">
        <x:v>0</x:v>
      </x:c>
      <x:c r="N35" s="233" t="n">
        <x:v>0.04</x:v>
      </x:c>
      <x:c r="O35" s="227" t="n">
        <x:f>(J35+(H35+M35)/2)*N35</x:f>
        <x:v>261950</x:v>
      </x:c>
      <x:c r="P35" s="227" t="n">
        <x:f>SUM(J35,H35,M35)-SUM(K35:L35)-O35</x:f>
        <x:v>2589925</x:v>
      </x:c>
      <x:c r="Q35" s="227" t="n">
        <x:f>L35*G35</x:f>
        <x:v>0</x:v>
      </x:c>
      <x:c r="R35" s="227" t="n">
        <x:f>K35*G35</x:f>
        <x:v>1077375</x:v>
      </x:c>
      <x:c r="S35" s="227" t="n">
        <x:f>M35*G35</x:f>
        <x:v>0</x:v>
      </x:c>
      <x:c r="T35" s="227" t="n">
        <x:f>O35*G35</x:f>
        <x:v>31434</x:v>
      </x:c>
      <x:c r="U35" s="227" t="n">
        <x:f>P35*G35</x:f>
        <x:v>310791</x:v>
      </x:c>
      <x:c r="V35" s="227" t="n">
        <x:f>J35+H35+M35-K35-L35-O35-P35</x:f>
        <x:v>0</x:v>
      </x:c>
    </x:row>
    <x:row r="36" ht="29" customHeight="1">
      <x:c r="A36" s="222" t="str">
        <x:v>Reach</x:v>
      </x:c>
      <x:c r="B36" s="227" t="str">
        <x:v>Cloth</x:v>
      </x:c>
      <x:c r="C36" s="227" t="str">
        <x:v>yards, coarse wool equivalent</x:v>
      </x:c>
      <x:c r="D36" s="230" t="n">
        <x:v>0.15</x:v>
      </x:c>
      <x:c r="E36" s="227" t="n">
        <x:f>Inputs!S9*(1-Inputs!T9)*D36/Prices!D52</x:f>
        <x:v>9506250</x:v>
      </x:c>
      <x:c r="F36" s="229" t="n">
        <x:f>Inputs!P9</x:f>
        <x:v>1</x:v>
      </x:c>
      <x:c r="G36" s="231" t="n">
        <x:f>Prices!E52</x:f>
        <x:v>0.08</x:v>
      </x:c>
      <x:c r="H36" s="227" t="n">
        <x:f>E36*F36</x:f>
        <x:v>9506250</x:v>
      </x:c>
      <x:c r="I36" s="227" t="n">
        <x:f>H36*G36</x:f>
        <x:v>760500</x:v>
      </x:c>
      <x:c r="J36" s="232" t="n">
        <x:v>1140750</x:v>
      </x:c>
      <x:c r="K36" s="227" t="n">
        <x:f>E36*'Goods'!$C9</x:f>
        <x:v>8080312.5</x:v>
      </x:c>
      <x:c r="L36" s="232" t="n">
        <x:v>0</x:v>
      </x:c>
      <x:c r="M36" s="232" t="n">
        <x:v>0</x:v>
      </x:c>
      <x:c r="N36" s="233" t="n">
        <x:v>0.02</x:v>
      </x:c>
      <x:c r="O36" s="227" t="n">
        <x:f>(J36+(H36+M36)/2)*N36</x:f>
        <x:v>117877.5</x:v>
      </x:c>
      <x:c r="P36" s="227" t="n">
        <x:f>SUM(J36,H36,M36)-SUM(K36:L36)-O36</x:f>
        <x:v>2448810</x:v>
      </x:c>
      <x:c r="Q36" s="227" t="n">
        <x:f>L36*G36</x:f>
        <x:v>0</x:v>
      </x:c>
      <x:c r="R36" s="227" t="n">
        <x:f>K36*G36</x:f>
        <x:v>646425</x:v>
      </x:c>
      <x:c r="S36" s="227" t="n">
        <x:f>M36*G36</x:f>
        <x:v>0</x:v>
      </x:c>
      <x:c r="T36" s="227" t="n">
        <x:f>O36*G36</x:f>
        <x:v>9430.2</x:v>
      </x:c>
      <x:c r="U36" s="227" t="n">
        <x:f>P36*G36</x:f>
        <x:v>195904.80000000002</x:v>
      </x:c>
      <x:c r="V36" s="227" t="n">
        <x:f>J36+H36+M36-K36-L36-O36-P36</x:f>
        <x:v>0</x:v>
      </x:c>
    </x:row>
    <x:row r="37" ht="29" customHeight="1">
      <x:c r="A37" s="222" t="str">
        <x:v>Reach</x:v>
      </x:c>
      <x:c r="B37" s="227" t="str">
        <x:v>Timber</x:v>
      </x:c>
      <x:c r="C37" s="227" t="str">
        <x:v>100 board feet</x:v>
      </x:c>
      <x:c r="D37" s="230" t="n">
        <x:v>0.03</x:v>
      </x:c>
      <x:c r="E37" s="227" t="n">
        <x:f>Inputs!S9*(1-Inputs!T9)*D37/Prices!D22</x:f>
        <x:v>84500</x:v>
      </x:c>
      <x:c r="F37" s="229" t="n">
        <x:f>Inputs!P9</x:f>
        <x:v>1</x:v>
      </x:c>
      <x:c r="G37" s="231" t="n">
        <x:f>Prices!E22</x:f>
        <x:v>1.8</x:v>
      </x:c>
      <x:c r="H37" s="227" t="n">
        <x:f>E37*F37</x:f>
        <x:v>84500</x:v>
      </x:c>
      <x:c r="I37" s="227" t="n">
        <x:f>H37*G37</x:f>
        <x:v>152100</x:v>
      </x:c>
      <x:c r="J37" s="232" t="n">
        <x:v>10140</x:v>
      </x:c>
      <x:c r="K37" s="227" t="n">
        <x:f>E37*'Goods'!$C9</x:f>
        <x:v>71825</x:v>
      </x:c>
      <x:c r="L37" s="232" t="n">
        <x:v>0</x:v>
      </x:c>
      <x:c r="M37" s="232" t="n">
        <x:v>0</x:v>
      </x:c>
      <x:c r="N37" s="233" t="n">
        <x:v>0.01</x:v>
      </x:c>
      <x:c r="O37" s="227" t="n">
        <x:f>(J37+(H37+M37)/2)*N37</x:f>
        <x:v>523.9</x:v>
      </x:c>
      <x:c r="P37" s="227" t="n">
        <x:f>SUM(J37,H37,M37)-SUM(K37:L37)-O37</x:f>
        <x:v>22291.1</x:v>
      </x:c>
      <x:c r="Q37" s="227" t="n">
        <x:f>L37*G37</x:f>
        <x:v>0</x:v>
      </x:c>
      <x:c r="R37" s="227" t="n">
        <x:f>K37*G37</x:f>
        <x:v>129285</x:v>
      </x:c>
      <x:c r="S37" s="227" t="n">
        <x:f>M37*G37</x:f>
        <x:v>0</x:v>
      </x:c>
      <x:c r="T37" s="227" t="n">
        <x:f>O37*G37</x:f>
        <x:v>943.02</x:v>
      </x:c>
      <x:c r="U37" s="227" t="n">
        <x:f>P37*G37</x:f>
        <x:v>40123.979999999996</x:v>
      </x:c>
      <x:c r="V37" s="227" t="n">
        <x:f>J37+H37+M37-K37-L37-O37-P37</x:f>
        <x:v>0</x:v>
      </x:c>
    </x:row>
    <x:row r="38" ht="29" customHeight="1">
      <x:c r="A38" s="222" t="str">
        <x:v>Reach</x:v>
      </x:c>
      <x:c r="B38" s="227" t="str">
        <x:v>Iron</x:v>
      </x:c>
      <x:c r="C38" s="227" t="str">
        <x:v>hundredweight</x:v>
      </x:c>
      <x:c r="D38" s="230" t="n">
        <x:v>0.01</x:v>
      </x:c>
      <x:c r="E38" s="227" t="n">
        <x:f>Inputs!S9*(1-Inputs!T9)*D38/Prices!D21</x:f>
        <x:v>12675</x:v>
      </x:c>
      <x:c r="F38" s="229" t="n">
        <x:f>Inputs!P9</x:f>
        <x:v>1</x:v>
      </x:c>
      <x:c r="G38" s="231" t="n">
        <x:f>Prices!E21</x:f>
        <x:v>4</x:v>
      </x:c>
      <x:c r="H38" s="227" t="n">
        <x:f>E38*F38</x:f>
        <x:v>12675</x:v>
      </x:c>
      <x:c r="I38" s="227" t="n">
        <x:f>H38*G38</x:f>
        <x:v>50700</x:v>
      </x:c>
      <x:c r="J38" s="232" t="n">
        <x:v>1521</x:v>
      </x:c>
      <x:c r="K38" s="227" t="n">
        <x:f>E38*'Goods'!$C9</x:f>
        <x:v>10773.75</x:v>
      </x:c>
      <x:c r="L38" s="232" t="n">
        <x:v>0</x:v>
      </x:c>
      <x:c r="M38" s="232" t="n">
        <x:v>0</x:v>
      </x:c>
      <x:c r="N38" s="233" t="n">
        <x:v>0.005</x:v>
      </x:c>
      <x:c r="O38" s="227" t="n">
        <x:f>(J38+(H38+M38)/2)*N38</x:f>
        <x:v>39.292500000000004</x:v>
      </x:c>
      <x:c r="P38" s="227" t="n">
        <x:f>SUM(J38,H38,M38)-SUM(K38:L38)-O38</x:f>
        <x:v>3382.9575</x:v>
      </x:c>
      <x:c r="Q38" s="227" t="n">
        <x:f>L38*G38</x:f>
        <x:v>0</x:v>
      </x:c>
      <x:c r="R38" s="227" t="n">
        <x:f>K38*G38</x:f>
        <x:v>43095</x:v>
      </x:c>
      <x:c r="S38" s="227" t="n">
        <x:f>M38*G38</x:f>
        <x:v>0</x:v>
      </x:c>
      <x:c r="T38" s="227" t="n">
        <x:f>O38*G38</x:f>
        <x:v>157.17000000000002</x:v>
      </x:c>
      <x:c r="U38" s="227" t="n">
        <x:f>P38*G38</x:f>
        <x:v>13531.83</x:v>
      </x:c>
      <x:c r="V38" s="227" t="n">
        <x:f>J38+H38+M38-K38-L38-O38-P38</x:f>
        <x:v>0</x:v>
      </x:c>
    </x:row>
    <x:row r="39" ht="29" customHeight="1">
      <x:c r="A39" s="222" t="str">
        <x:v>Reach</x:v>
      </x:c>
      <x:c r="B39" s="227" t="str">
        <x:v>Preserved fish</x:v>
      </x:c>
      <x:c r="C39" s="227" t="str">
        <x:v>100 lb planning loads</x:v>
      </x:c>
      <x:c r="D39" s="230" t="n">
        <x:v>0.01</x:v>
      </x:c>
      <x:c r="E39" s="227" t="n">
        <x:f>Inputs!S9*(1-Inputs!T9)*D39/Prices!D53</x:f>
        <x:v>12675</x:v>
      </x:c>
      <x:c r="F39" s="229" t="n">
        <x:f>Inputs!P9</x:f>
        <x:v>1</x:v>
      </x:c>
      <x:c r="G39" s="231" t="n">
        <x:f>Prices!E53</x:f>
        <x:v>4</x:v>
      </x:c>
      <x:c r="H39" s="227" t="n">
        <x:f>E39*F39</x:f>
        <x:v>12675</x:v>
      </x:c>
      <x:c r="I39" s="227" t="n">
        <x:f>H39*G39</x:f>
        <x:v>50700</x:v>
      </x:c>
      <x:c r="J39" s="232" t="n">
        <x:v>1521</x:v>
      </x:c>
      <x:c r="K39" s="227" t="n">
        <x:f>E39*'Goods'!$C9</x:f>
        <x:v>10773.75</x:v>
      </x:c>
      <x:c r="L39" s="232" t="n">
        <x:v>0</x:v>
      </x:c>
      <x:c r="M39" s="232" t="n">
        <x:v>0</x:v>
      </x:c>
      <x:c r="N39" s="233" t="n">
        <x:v>0.05</x:v>
      </x:c>
      <x:c r="O39" s="227" t="n">
        <x:f>(J39+(H39+M39)/2)*N39</x:f>
        <x:v>392.925</x:v>
      </x:c>
      <x:c r="P39" s="227" t="n">
        <x:f>SUM(J39,H39,M39)-SUM(K39:L39)-O39</x:f>
        <x:v>3029.325</x:v>
      </x:c>
      <x:c r="Q39" s="227" t="n">
        <x:f>L39*G39</x:f>
        <x:v>0</x:v>
      </x:c>
      <x:c r="R39" s="227" t="n">
        <x:f>K39*G39</x:f>
        <x:v>43095</x:v>
      </x:c>
      <x:c r="S39" s="227" t="n">
        <x:f>M39*G39</x:f>
        <x:v>0</x:v>
      </x:c>
      <x:c r="T39" s="227" t="n">
        <x:f>O39*G39</x:f>
        <x:v>1571.7</x:v>
      </x:c>
      <x:c r="U39" s="227" t="n">
        <x:f>P39*G39</x:f>
        <x:v>12117.3</x:v>
      </x:c>
      <x:c r="V39" s="227" t="n">
        <x:f>J39+H39+M39-K39-L39-O39-P39</x:f>
        <x:v>0</x:v>
      </x:c>
    </x:row>
    <x:row r="40" ht="29" customHeight="1">
      <x:c r="A40" s="222" t="str">
        <x:v>Stormlands</x:v>
      </x:c>
      <x:c r="B40" s="227" t="str">
        <x:v>Wheat</x:v>
      </x:c>
      <x:c r="C40" s="227" t="str">
        <x:v>bushels</x:v>
      </x:c>
      <x:c r="D40" s="230" t="n">
        <x:v>0.3</x:v>
      </x:c>
      <x:c r="E40" s="227" t="n">
        <x:f>Inputs!S10*(1-Inputs!T10)*D40/Prices!D8</x:f>
        <x:v>825000.0000000001</x:v>
      </x:c>
      <x:c r="F40" s="229" t="n">
        <x:f>Inputs!P10</x:f>
        <x:v>1</x:v>
      </x:c>
      <x:c r="G40" s="231" t="n">
        <x:f>Prices!E8</x:f>
        <x:v>0.15</x:v>
      </x:c>
      <x:c r="H40" s="227" t="n">
        <x:f>E40*F40</x:f>
        <x:v>825000.0000000001</x:v>
      </x:c>
      <x:c r="I40" s="227" t="n">
        <x:f>H40*G40</x:f>
        <x:v>123750.00000000001</x:v>
      </x:c>
      <x:c r="J40" s="232" t="n">
        <x:f>Inputs!K10</x:f>
        <x:v>60000</x:v>
      </x:c>
      <x:c r="K40" s="227" t="n">
        <x:f>E40*'Goods'!$C10</x:f>
        <x:v>701250.0000000001</x:v>
      </x:c>
      <x:c r="L40" s="232" t="n">
        <x:v>0</x:v>
      </x:c>
      <x:c r="M40" s="232" t="n">
        <x:v>0</x:v>
      </x:c>
      <x:c r="N40" s="233" t="n">
        <x:v>0.05</x:v>
      </x:c>
      <x:c r="O40" s="227" t="n">
        <x:f>(J40+(H40+M40)/2)*N40</x:f>
        <x:v>23625.000000000004</x:v>
      </x:c>
      <x:c r="P40" s="227" t="n">
        <x:f>SUM(J40,H40,M40)-SUM(K40:L40)-O40</x:f>
        <x:v>160125</x:v>
      </x:c>
      <x:c r="Q40" s="227" t="n">
        <x:f>L40*G40</x:f>
        <x:v>0</x:v>
      </x:c>
      <x:c r="R40" s="227" t="n">
        <x:f>K40*G40</x:f>
        <x:v>105187.50000000001</x:v>
      </x:c>
      <x:c r="S40" s="227" t="n">
        <x:f>M40*G40</x:f>
        <x:v>0</x:v>
      </x:c>
      <x:c r="T40" s="227" t="n">
        <x:f>O40*G40</x:f>
        <x:v>3543.7500000000005</x:v>
      </x:c>
      <x:c r="U40" s="227" t="n">
        <x:f>P40*G40</x:f>
        <x:v>24018.75</x:v>
      </x:c>
      <x:c r="V40" s="227" t="n">
        <x:f>J40+H40+M40-K40-L40-O40-P40</x:f>
        <x:v>0</x:v>
      </x:c>
    </x:row>
    <x:row r="41" ht="29" customHeight="1">
      <x:c r="A41" s="222" t="str">
        <x:v>Stormlands</x:v>
      </x:c>
      <x:c r="B41" s="227" t="str">
        <x:v>Livestock basket</x:v>
      </x:c>
      <x:c r="C41" s="227" t="str">
        <x:v>cow-equivalent animals</x:v>
      </x:c>
      <x:c r="D41" s="230" t="n">
        <x:v>0.15</x:v>
      </x:c>
      <x:c r="E41" s="227" t="n">
        <x:f>Inputs!S10*(1-Inputs!T10)*D41/Prices!D17</x:f>
        <x:v>7734.375000000001</x:v>
      </x:c>
      <x:c r="F41" s="229" t="n">
        <x:f>Inputs!P10</x:f>
        <x:v>1</x:v>
      </x:c>
      <x:c r="G41" s="231" t="n">
        <x:f>Prices!E17</x:f>
        <x:v>8</x:v>
      </x:c>
      <x:c r="H41" s="227" t="n">
        <x:f>E41*F41</x:f>
        <x:v>7734.375000000001</x:v>
      </x:c>
      <x:c r="I41" s="227" t="n">
        <x:f>H41*G41</x:f>
        <x:v>61875.00000000001</x:v>
      </x:c>
      <x:c r="J41" s="232" t="n">
        <x:v>928.12</x:v>
      </x:c>
      <x:c r="K41" s="227" t="n">
        <x:f>E41*'Goods'!$C10</x:f>
        <x:v>6574.218750000001</x:v>
      </x:c>
      <x:c r="L41" s="232" t="n">
        <x:v>0</x:v>
      </x:c>
      <x:c r="M41" s="232" t="n">
        <x:v>0</x:v>
      </x:c>
      <x:c r="N41" s="233" t="n">
        <x:v>0.02</x:v>
      </x:c>
      <x:c r="O41" s="227" t="n">
        <x:f>(J41+(H41+M41)/2)*N41</x:f>
        <x:v>95.90615000000003</x:v>
      </x:c>
      <x:c r="P41" s="227" t="n">
        <x:f>SUM(J41,H41,M41)-SUM(K41:L41)-O41</x:f>
        <x:v>1992.3700999999999</x:v>
      </x:c>
      <x:c r="Q41" s="227" t="n">
        <x:f>L41*G41</x:f>
        <x:v>0</x:v>
      </x:c>
      <x:c r="R41" s="227" t="n">
        <x:f>K41*G41</x:f>
        <x:v>52593.75000000001</x:v>
      </x:c>
      <x:c r="S41" s="227" t="n">
        <x:f>M41*G41</x:f>
        <x:v>0</x:v>
      </x:c>
      <x:c r="T41" s="227" t="n">
        <x:f>O41*G41</x:f>
        <x:v>767.2492000000002</x:v>
      </x:c>
      <x:c r="U41" s="227" t="n">
        <x:f>P41*G41</x:f>
        <x:v>15938.960799999999</x:v>
      </x:c>
      <x:c r="V41" s="227" t="n">
        <x:f>J41+H41+M41-K41-L41-O41-P41</x:f>
        <x:v>0</x:v>
      </x:c>
    </x:row>
    <x:row r="42" ht="29" customHeight="1">
      <x:c r="A42" s="222" t="str">
        <x:v>Stormlands</x:v>
      </x:c>
      <x:c r="B42" s="227" t="str">
        <x:v>Wine</x:v>
      </x:c>
      <x:c r="C42" s="227" t="str">
        <x:v>gallons, common equivalent</x:v>
      </x:c>
      <x:c r="D42" s="230" t="n">
        <x:v>0.05</x:v>
      </x:c>
      <x:c r="E42" s="227" t="n">
        <x:f>Inputs!S10*(1-Inputs!T10)*D42/Prices!D15</x:f>
        <x:v>171875.00000000003</x:v>
      </x:c>
      <x:c r="F42" s="229" t="n">
        <x:f>Inputs!P10</x:f>
        <x:v>1</x:v>
      </x:c>
      <x:c r="G42" s="231" t="n">
        <x:f>Prices!E15</x:f>
        <x:v>0.12</x:v>
      </x:c>
      <x:c r="H42" s="227" t="n">
        <x:f>E42*F42</x:f>
        <x:v>171875.00000000003</x:v>
      </x:c>
      <x:c r="I42" s="227" t="n">
        <x:f>H42*G42</x:f>
        <x:v>20625.000000000004</x:v>
      </x:c>
      <x:c r="J42" s="232" t="n">
        <x:v>20625</x:v>
      </x:c>
      <x:c r="K42" s="227" t="n">
        <x:f>E42*'Goods'!$C10</x:f>
        <x:v>146093.75000000003</x:v>
      </x:c>
      <x:c r="L42" s="232" t="n">
        <x:v>0</x:v>
      </x:c>
      <x:c r="M42" s="232" t="n">
        <x:v>0</x:v>
      </x:c>
      <x:c r="N42" s="233" t="n">
        <x:v>0.04</x:v>
      </x:c>
      <x:c r="O42" s="227" t="n">
        <x:f>(J42+(H42+M42)/2)*N42</x:f>
        <x:v>4262.500000000001</x:v>
      </x:c>
      <x:c r="P42" s="227" t="n">
        <x:f>SUM(J42,H42,M42)-SUM(K42:L42)-O42</x:f>
        <x:v>42143.75</x:v>
      </x:c>
      <x:c r="Q42" s="227" t="n">
        <x:f>L42*G42</x:f>
        <x:v>0</x:v>
      </x:c>
      <x:c r="R42" s="227" t="n">
        <x:f>K42*G42</x:f>
        <x:v>17531.250000000004</x:v>
      </x:c>
      <x:c r="S42" s="227" t="n">
        <x:f>M42*G42</x:f>
        <x:v>0</x:v>
      </x:c>
      <x:c r="T42" s="227" t="n">
        <x:f>O42*G42</x:f>
        <x:v>511.5000000000001</x:v>
      </x:c>
      <x:c r="U42" s="227" t="n">
        <x:f>P42*G42</x:f>
        <x:v>5057.25</x:v>
      </x:c>
      <x:c r="V42" s="227" t="n">
        <x:f>J42+H42+M42-K42-L42-O42-P42</x:f>
        <x:v>0</x:v>
      </x:c>
    </x:row>
    <x:row r="43" ht="29" customHeight="1">
      <x:c r="A43" s="222" t="str">
        <x:v>Stormlands</x:v>
      </x:c>
      <x:c r="B43" s="227" t="str">
        <x:v>Cloth</x:v>
      </x:c>
      <x:c r="C43" s="227" t="str">
        <x:v>yards, coarse wool equivalent</x:v>
      </x:c>
      <x:c r="D43" s="230" t="n">
        <x:v>0.1</x:v>
      </x:c>
      <x:c r="E43" s="227" t="n">
        <x:f>Inputs!S10*(1-Inputs!T10)*D43/Prices!D52</x:f>
        <x:v>515625.00000000006</x:v>
      </x:c>
      <x:c r="F43" s="229" t="n">
        <x:f>Inputs!P10</x:f>
        <x:v>1</x:v>
      </x:c>
      <x:c r="G43" s="231" t="n">
        <x:f>Prices!E52</x:f>
        <x:v>0.08</x:v>
      </x:c>
      <x:c r="H43" s="227" t="n">
        <x:f>E43*F43</x:f>
        <x:v>515625.00000000006</x:v>
      </x:c>
      <x:c r="I43" s="227" t="n">
        <x:f>H43*G43</x:f>
        <x:v>41250.00000000001</x:v>
      </x:c>
      <x:c r="J43" s="232" t="n">
        <x:v>61875</x:v>
      </x:c>
      <x:c r="K43" s="227" t="n">
        <x:f>E43*'Goods'!$C10</x:f>
        <x:v>438281.25000000006</x:v>
      </x:c>
      <x:c r="L43" s="232" t="n">
        <x:v>0</x:v>
      </x:c>
      <x:c r="M43" s="232" t="n">
        <x:v>0</x:v>
      </x:c>
      <x:c r="N43" s="233" t="n">
        <x:v>0.02</x:v>
      </x:c>
      <x:c r="O43" s="227" t="n">
        <x:f>(J43+(H43+M43)/2)*N43</x:f>
        <x:v>6393.75</x:v>
      </x:c>
      <x:c r="P43" s="227" t="n">
        <x:f>SUM(J43,H43,M43)-SUM(K43:L43)-O43</x:f>
        <x:v>132824.99999999994</x:v>
      </x:c>
      <x:c r="Q43" s="227" t="n">
        <x:f>L43*G43</x:f>
        <x:v>0</x:v>
      </x:c>
      <x:c r="R43" s="227" t="n">
        <x:f>K43*G43</x:f>
        <x:v>35062.50000000001</x:v>
      </x:c>
      <x:c r="S43" s="227" t="n">
        <x:f>M43*G43</x:f>
        <x:v>0</x:v>
      </x:c>
      <x:c r="T43" s="227" t="n">
        <x:f>O43*G43</x:f>
        <x:v>511.5</x:v>
      </x:c>
      <x:c r="U43" s="227" t="n">
        <x:f>P43*G43</x:f>
        <x:v>10625.999999999996</x:v>
      </x:c>
      <x:c r="V43" s="227" t="n">
        <x:f>J43+H43+M43-K43-L43-O43-P43</x:f>
        <x:v>0</x:v>
      </x:c>
    </x:row>
    <x:row r="44" ht="29" customHeight="1">
      <x:c r="A44" s="222" t="str">
        <x:v>Stormlands</x:v>
      </x:c>
      <x:c r="B44" s="227" t="str">
        <x:v>Timber</x:v>
      </x:c>
      <x:c r="C44" s="227" t="str">
        <x:v>100 board feet</x:v>
      </x:c>
      <x:c r="D44" s="230" t="n">
        <x:v>0.3</x:v>
      </x:c>
      <x:c r="E44" s="227" t="n">
        <x:f>Inputs!S10*(1-Inputs!T10)*D44/Prices!D22</x:f>
        <x:v>68750</x:v>
      </x:c>
      <x:c r="F44" s="229" t="n">
        <x:f>Inputs!P10</x:f>
        <x:v>1</x:v>
      </x:c>
      <x:c r="G44" s="231" t="n">
        <x:f>Prices!E22</x:f>
        <x:v>1.8</x:v>
      </x:c>
      <x:c r="H44" s="227" t="n">
        <x:f>E44*F44</x:f>
        <x:v>68750</x:v>
      </x:c>
      <x:c r="I44" s="227" t="n">
        <x:f>H44*G44</x:f>
        <x:v>123750</x:v>
      </x:c>
      <x:c r="J44" s="232" t="n">
        <x:v>8250</x:v>
      </x:c>
      <x:c r="K44" s="227" t="n">
        <x:f>E44*'Goods'!$C10</x:f>
        <x:v>58437.5</x:v>
      </x:c>
      <x:c r="L44" s="232" t="n">
        <x:v>0</x:v>
      </x:c>
      <x:c r="M44" s="232" t="n">
        <x:v>0</x:v>
      </x:c>
      <x:c r="N44" s="233" t="n">
        <x:v>0.01</x:v>
      </x:c>
      <x:c r="O44" s="227" t="n">
        <x:f>(J44+(H44+M44)/2)*N44</x:f>
        <x:v>426.25</x:v>
      </x:c>
      <x:c r="P44" s="227" t="n">
        <x:f>SUM(J44,H44,M44)-SUM(K44:L44)-O44</x:f>
        <x:v>18136.25</x:v>
      </x:c>
      <x:c r="Q44" s="227" t="n">
        <x:f>L44*G44</x:f>
        <x:v>0</x:v>
      </x:c>
      <x:c r="R44" s="227" t="n">
        <x:f>K44*G44</x:f>
        <x:v>105187.5</x:v>
      </x:c>
      <x:c r="S44" s="227" t="n">
        <x:f>M44*G44</x:f>
        <x:v>0</x:v>
      </x:c>
      <x:c r="T44" s="227" t="n">
        <x:f>O44*G44</x:f>
        <x:v>767.25</x:v>
      </x:c>
      <x:c r="U44" s="227" t="n">
        <x:f>P44*G44</x:f>
        <x:v>32645.25</x:v>
      </x:c>
      <x:c r="V44" s="227" t="n">
        <x:f>J44+H44+M44-K44-L44-O44-P44</x:f>
        <x:v>0</x:v>
      </x:c>
    </x:row>
    <x:row r="45" ht="29" customHeight="1">
      <x:c r="A45" s="222" t="str">
        <x:v>Stormlands</x:v>
      </x:c>
      <x:c r="B45" s="227" t="str">
        <x:v>Iron</x:v>
      </x:c>
      <x:c r="C45" s="227" t="str">
        <x:v>hundredweight</x:v>
      </x:c>
      <x:c r="D45" s="230" t="n">
        <x:v>0.03</x:v>
      </x:c>
      <x:c r="E45" s="227" t="n">
        <x:f>Inputs!S10*(1-Inputs!T10)*D45/Prices!D21</x:f>
        <x:v>3093.7500000000005</x:v>
      </x:c>
      <x:c r="F45" s="229" t="n">
        <x:f>Inputs!P10</x:f>
        <x:v>1</x:v>
      </x:c>
      <x:c r="G45" s="231" t="n">
        <x:f>Prices!E21</x:f>
        <x:v>4</x:v>
      </x:c>
      <x:c r="H45" s="227" t="n">
        <x:f>E45*F45</x:f>
        <x:v>3093.7500000000005</x:v>
      </x:c>
      <x:c r="I45" s="227" t="n">
        <x:f>H45*G45</x:f>
        <x:v>12375.000000000002</x:v>
      </x:c>
      <x:c r="J45" s="232" t="n">
        <x:v>371.25</x:v>
      </x:c>
      <x:c r="K45" s="227" t="n">
        <x:f>E45*'Goods'!$C10</x:f>
        <x:v>2629.6875000000005</x:v>
      </x:c>
      <x:c r="L45" s="232" t="n">
        <x:v>0</x:v>
      </x:c>
      <x:c r="M45" s="232" t="n">
        <x:v>0</x:v>
      </x:c>
      <x:c r="N45" s="233" t="n">
        <x:v>0.005</x:v>
      </x:c>
      <x:c r="O45" s="227" t="n">
        <x:f>(J45+(H45+M45)/2)*N45</x:f>
        <x:v>9.590625000000001</x:v>
      </x:c>
      <x:c r="P45" s="227" t="n">
        <x:f>SUM(J45,H45,M45)-SUM(K45:L45)-O45</x:f>
        <x:v>825.721875</x:v>
      </x:c>
      <x:c r="Q45" s="227" t="n">
        <x:f>L45*G45</x:f>
        <x:v>0</x:v>
      </x:c>
      <x:c r="R45" s="227" t="n">
        <x:f>K45*G45</x:f>
        <x:v>10518.750000000002</x:v>
      </x:c>
      <x:c r="S45" s="227" t="n">
        <x:f>M45*G45</x:f>
        <x:v>0</x:v>
      </x:c>
      <x:c r="T45" s="227" t="n">
        <x:f>O45*G45</x:f>
        <x:v>38.362500000000004</x:v>
      </x:c>
      <x:c r="U45" s="227" t="n">
        <x:f>P45*G45</x:f>
        <x:v>3302.8875</x:v>
      </x:c>
      <x:c r="V45" s="227" t="n">
        <x:f>J45+H45+M45-K45-L45-O45-P45</x:f>
        <x:v>0</x:v>
      </x:c>
    </x:row>
    <x:row r="46" ht="29" customHeight="1">
      <x:c r="A46" s="222" t="str">
        <x:v>Stormlands</x:v>
      </x:c>
      <x:c r="B46" s="227" t="str">
        <x:v>Preserved fish</x:v>
      </x:c>
      <x:c r="C46" s="227" t="str">
        <x:v>100 lb planning loads</x:v>
      </x:c>
      <x:c r="D46" s="230" t="n">
        <x:v>0.07</x:v>
      </x:c>
      <x:c r="E46" s="227" t="n">
        <x:f>Inputs!S10*(1-Inputs!T10)*D46/Prices!D53</x:f>
        <x:v>7218.750000000002</x:v>
      </x:c>
      <x:c r="F46" s="229" t="n">
        <x:f>Inputs!P10</x:f>
        <x:v>1</x:v>
      </x:c>
      <x:c r="G46" s="231" t="n">
        <x:f>Prices!E53</x:f>
        <x:v>4</x:v>
      </x:c>
      <x:c r="H46" s="227" t="n">
        <x:f>E46*F46</x:f>
        <x:v>7218.750000000002</x:v>
      </x:c>
      <x:c r="I46" s="227" t="n">
        <x:f>H46*G46</x:f>
        <x:v>28875.000000000007</x:v>
      </x:c>
      <x:c r="J46" s="232" t="n">
        <x:v>866.25</x:v>
      </x:c>
      <x:c r="K46" s="227" t="n">
        <x:f>E46*'Goods'!$C10</x:f>
        <x:v>6135.937500000002</x:v>
      </x:c>
      <x:c r="L46" s="232" t="n">
        <x:v>0</x:v>
      </x:c>
      <x:c r="M46" s="232" t="n">
        <x:v>0</x:v>
      </x:c>
      <x:c r="N46" s="233" t="n">
        <x:v>0.05</x:v>
      </x:c>
      <x:c r="O46" s="227" t="n">
        <x:f>(J46+(H46+M46)/2)*N46</x:f>
        <x:v>223.78125000000006</x:v>
      </x:c>
      <x:c r="P46" s="227" t="n">
        <x:f>SUM(J46,H46,M46)-SUM(K46:L46)-O46</x:f>
        <x:v>1725.28125</x:v>
      </x:c>
      <x:c r="Q46" s="227" t="n">
        <x:f>L46*G46</x:f>
        <x:v>0</x:v>
      </x:c>
      <x:c r="R46" s="227" t="n">
        <x:f>K46*G46</x:f>
        <x:v>24543.750000000007</x:v>
      </x:c>
      <x:c r="S46" s="227" t="n">
        <x:f>M46*G46</x:f>
        <x:v>0</x:v>
      </x:c>
      <x:c r="T46" s="227" t="n">
        <x:f>O46*G46</x:f>
        <x:v>895.1250000000002</x:v>
      </x:c>
      <x:c r="U46" s="227" t="n">
        <x:f>P46*G46</x:f>
        <x:v>6901.125</x:v>
      </x:c>
      <x:c r="V46" s="227" t="n">
        <x:f>J46+H46+M46-K46-L46-O46-P46</x:f>
        <x:v>0</x:v>
      </x:c>
    </x:row>
    <x:row r="47" ht="29" customHeight="1">
      <x:c r="A47" s="222" t="str">
        <x:v>Dorne</x:v>
      </x:c>
      <x:c r="B47" s="227" t="str">
        <x:v>Wheat</x:v>
      </x:c>
      <x:c r="C47" s="227" t="str">
        <x:v>bushels</x:v>
      </x:c>
      <x:c r="D47" s="230" t="n">
        <x:v>0.15</x:v>
      </x:c>
      <x:c r="E47" s="227" t="n">
        <x:f>Inputs!S11*(1-Inputs!T11)*D47/Prices!D8</x:f>
        <x:v>350000</x:v>
      </x:c>
      <x:c r="F47" s="229" t="n">
        <x:f>Inputs!P11</x:f>
        <x:v>1</x:v>
      </x:c>
      <x:c r="G47" s="231" t="n">
        <x:f>Prices!E8</x:f>
        <x:v>0.15</x:v>
      </x:c>
      <x:c r="H47" s="227" t="n">
        <x:f>E47*F47</x:f>
        <x:v>350000</x:v>
      </x:c>
      <x:c r="I47" s="227" t="n">
        <x:f>H47*G47</x:f>
        <x:v>52500</x:v>
      </x:c>
      <x:c r="J47" s="232" t="n">
        <x:f>Inputs!K11</x:f>
        <x:v>140000</x:v>
      </x:c>
      <x:c r="K47" s="227" t="n">
        <x:f>E47*'Goods'!$C11</x:f>
        <x:v>297500</x:v>
      </x:c>
      <x:c r="L47" s="232" t="n">
        <x:v>0</x:v>
      </x:c>
      <x:c r="M47" s="232" t="n">
        <x:v>0</x:v>
      </x:c>
      <x:c r="N47" s="233" t="n">
        <x:v>0.05</x:v>
      </x:c>
      <x:c r="O47" s="227" t="n">
        <x:f>(J47+(H47+M47)/2)*N47</x:f>
        <x:v>15750</x:v>
      </x:c>
      <x:c r="P47" s="227" t="n">
        <x:f>SUM(J47,H47,M47)-SUM(K47:L47)-O47</x:f>
        <x:v>176750</x:v>
      </x:c>
      <x:c r="Q47" s="227" t="n">
        <x:f>L47*G47</x:f>
        <x:v>0</x:v>
      </x:c>
      <x:c r="R47" s="227" t="n">
        <x:f>K47*G47</x:f>
        <x:v>44625</x:v>
      </x:c>
      <x:c r="S47" s="227" t="n">
        <x:f>M47*G47</x:f>
        <x:v>0</x:v>
      </x:c>
      <x:c r="T47" s="227" t="n">
        <x:f>O47*G47</x:f>
        <x:v>2362.5</x:v>
      </x:c>
      <x:c r="U47" s="227" t="n">
        <x:f>P47*G47</x:f>
        <x:v>26512.5</x:v>
      </x:c>
      <x:c r="V47" s="227" t="n">
        <x:f>J47+H47+M47-K47-L47-O47-P47</x:f>
        <x:v>0</x:v>
      </x:c>
    </x:row>
    <x:row r="48" ht="29" customHeight="1">
      <x:c r="A48" s="222" t="str">
        <x:v>Dorne</x:v>
      </x:c>
      <x:c r="B48" s="227" t="str">
        <x:v>Livestock basket</x:v>
      </x:c>
      <x:c r="C48" s="227" t="str">
        <x:v>cow-equivalent animals</x:v>
      </x:c>
      <x:c r="D48" s="230" t="n">
        <x:v>0.1</x:v>
      </x:c>
      <x:c r="E48" s="227" t="n">
        <x:f>Inputs!S11*(1-Inputs!T11)*D48/Prices!D17</x:f>
        <x:v>4375</x:v>
      </x:c>
      <x:c r="F48" s="229" t="n">
        <x:f>Inputs!P11</x:f>
        <x:v>1</x:v>
      </x:c>
      <x:c r="G48" s="231" t="n">
        <x:f>Prices!E17</x:f>
        <x:v>8</x:v>
      </x:c>
      <x:c r="H48" s="227" t="n">
        <x:f>E48*F48</x:f>
        <x:v>4375</x:v>
      </x:c>
      <x:c r="I48" s="227" t="n">
        <x:f>H48*G48</x:f>
        <x:v>35000</x:v>
      </x:c>
      <x:c r="J48" s="232" t="n">
        <x:v>525</x:v>
      </x:c>
      <x:c r="K48" s="227" t="n">
        <x:f>E48*'Goods'!$C11</x:f>
        <x:v>3718.75</x:v>
      </x:c>
      <x:c r="L48" s="232" t="n">
        <x:v>0</x:v>
      </x:c>
      <x:c r="M48" s="232" t="n">
        <x:v>0</x:v>
      </x:c>
      <x:c r="N48" s="233" t="n">
        <x:v>0.02</x:v>
      </x:c>
      <x:c r="O48" s="227" t="n">
        <x:f>(J48+(H48+M48)/2)*N48</x:f>
        <x:v>54.25</x:v>
      </x:c>
      <x:c r="P48" s="227" t="n">
        <x:f>SUM(J48,H48,M48)-SUM(K48:L48)-O48</x:f>
        <x:v>1127</x:v>
      </x:c>
      <x:c r="Q48" s="227" t="n">
        <x:f>L48*G48</x:f>
        <x:v>0</x:v>
      </x:c>
      <x:c r="R48" s="227" t="n">
        <x:f>K48*G48</x:f>
        <x:v>29750</x:v>
      </x:c>
      <x:c r="S48" s="227" t="n">
        <x:f>M48*G48</x:f>
        <x:v>0</x:v>
      </x:c>
      <x:c r="T48" s="227" t="n">
        <x:f>O48*G48</x:f>
        <x:v>434</x:v>
      </x:c>
      <x:c r="U48" s="227" t="n">
        <x:f>P48*G48</x:f>
        <x:v>9016</x:v>
      </x:c>
      <x:c r="V48" s="227" t="n">
        <x:f>J48+H48+M48-K48-L48-O48-P48</x:f>
        <x:v>0</x:v>
      </x:c>
    </x:row>
    <x:row r="49" ht="29" customHeight="1">
      <x:c r="A49" s="222" t="str">
        <x:v>Dorne</x:v>
      </x:c>
      <x:c r="B49" s="227" t="str">
        <x:v>Wine</x:v>
      </x:c>
      <x:c r="C49" s="227" t="str">
        <x:v>gallons, common equivalent</x:v>
      </x:c>
      <x:c r="D49" s="230" t="n">
        <x:v>0.35</x:v>
      </x:c>
      <x:c r="E49" s="227" t="n">
        <x:f>Inputs!S11*(1-Inputs!T11)*D49/Prices!D15</x:f>
        <x:v>1020833.3333333333</x:v>
      </x:c>
      <x:c r="F49" s="229" t="n">
        <x:f>Inputs!P11</x:f>
        <x:v>1</x:v>
      </x:c>
      <x:c r="G49" s="231" t="n">
        <x:f>Prices!E15</x:f>
        <x:v>0.12</x:v>
      </x:c>
      <x:c r="H49" s="227" t="n">
        <x:f>E49*F49</x:f>
        <x:v>1020833.3333333333</x:v>
      </x:c>
      <x:c r="I49" s="227" t="n">
        <x:f>H49*G49</x:f>
        <x:v>122499.99999999999</x:v>
      </x:c>
      <x:c r="J49" s="232" t="n">
        <x:v>122500</x:v>
      </x:c>
      <x:c r="K49" s="227" t="n">
        <x:f>E49*'Goods'!$C11</x:f>
        <x:v>867708.3333333333</x:v>
      </x:c>
      <x:c r="L49" s="232" t="n">
        <x:v>0</x:v>
      </x:c>
      <x:c r="M49" s="232" t="n">
        <x:v>0</x:v>
      </x:c>
      <x:c r="N49" s="233" t="n">
        <x:v>0.04</x:v>
      </x:c>
      <x:c r="O49" s="227" t="n">
        <x:f>(J49+(H49+M49)/2)*N49</x:f>
        <x:v>25316.666666666664</x:v>
      </x:c>
      <x:c r="P49" s="227" t="n">
        <x:f>SUM(J49,H49,M49)-SUM(K49:L49)-O49</x:f>
        <x:v>250308.33333333334</x:v>
      </x:c>
      <x:c r="Q49" s="227" t="n">
        <x:f>L49*G49</x:f>
        <x:v>0</x:v>
      </x:c>
      <x:c r="R49" s="227" t="n">
        <x:f>K49*G49</x:f>
        <x:v>104124.99999999999</x:v>
      </x:c>
      <x:c r="S49" s="227" t="n">
        <x:f>M49*G49</x:f>
        <x:v>0</x:v>
      </x:c>
      <x:c r="T49" s="227" t="n">
        <x:f>O49*G49</x:f>
        <x:v>3037.9999999999995</x:v>
      </x:c>
      <x:c r="U49" s="227" t="n">
        <x:f>P49*G49</x:f>
        <x:v>30037</x:v>
      </x:c>
      <x:c r="V49" s="227" t="n">
        <x:f>J49+H49+M49-K49-L49-O49-P49</x:f>
        <x:v>0</x:v>
      </x:c>
    </x:row>
    <x:row r="50" ht="29" customHeight="1">
      <x:c r="A50" s="222" t="str">
        <x:v>Dorne</x:v>
      </x:c>
      <x:c r="B50" s="227" t="str">
        <x:v>Cloth</x:v>
      </x:c>
      <x:c r="C50" s="227" t="str">
        <x:v>yards, coarse wool equivalent</x:v>
      </x:c>
      <x:c r="D50" s="230" t="n">
        <x:v>0.3</x:v>
      </x:c>
      <x:c r="E50" s="227" t="n">
        <x:f>Inputs!S11*(1-Inputs!T11)*D50/Prices!D52</x:f>
        <x:v>1312500</x:v>
      </x:c>
      <x:c r="F50" s="229" t="n">
        <x:f>Inputs!P11</x:f>
        <x:v>1</x:v>
      </x:c>
      <x:c r="G50" s="231" t="n">
        <x:f>Prices!E52</x:f>
        <x:v>0.08</x:v>
      </x:c>
      <x:c r="H50" s="227" t="n">
        <x:f>E50*F50</x:f>
        <x:v>1312500</x:v>
      </x:c>
      <x:c r="I50" s="227" t="n">
        <x:f>H50*G50</x:f>
        <x:v>105000</x:v>
      </x:c>
      <x:c r="J50" s="232" t="n">
        <x:v>157500</x:v>
      </x:c>
      <x:c r="K50" s="227" t="n">
        <x:f>E50*'Goods'!$C11</x:f>
        <x:v>1115625</x:v>
      </x:c>
      <x:c r="L50" s="232" t="n">
        <x:v>0</x:v>
      </x:c>
      <x:c r="M50" s="232" t="n">
        <x:v>0</x:v>
      </x:c>
      <x:c r="N50" s="233" t="n">
        <x:v>0.02</x:v>
      </x:c>
      <x:c r="O50" s="227" t="n">
        <x:f>(J50+(H50+M50)/2)*N50</x:f>
        <x:v>16275</x:v>
      </x:c>
      <x:c r="P50" s="227" t="n">
        <x:f>SUM(J50,H50,M50)-SUM(K50:L50)-O50</x:f>
        <x:v>338100</x:v>
      </x:c>
      <x:c r="Q50" s="227" t="n">
        <x:f>L50*G50</x:f>
        <x:v>0</x:v>
      </x:c>
      <x:c r="R50" s="227" t="n">
        <x:f>K50*G50</x:f>
        <x:v>89250</x:v>
      </x:c>
      <x:c r="S50" s="227" t="n">
        <x:f>M50*G50</x:f>
        <x:v>0</x:v>
      </x:c>
      <x:c r="T50" s="227" t="n">
        <x:f>O50*G50</x:f>
        <x:v>1302</x:v>
      </x:c>
      <x:c r="U50" s="227" t="n">
        <x:f>P50*G50</x:f>
        <x:v>27048</x:v>
      </x:c>
      <x:c r="V50" s="227" t="n">
        <x:f>J50+H50+M50-K50-L50-O50-P50</x:f>
        <x:v>0</x:v>
      </x:c>
    </x:row>
    <x:row r="51" ht="29" customHeight="1">
      <x:c r="A51" s="222" t="str">
        <x:v>Dorne</x:v>
      </x:c>
      <x:c r="B51" s="227" t="str">
        <x:v>Timber</x:v>
      </x:c>
      <x:c r="C51" s="227" t="str">
        <x:v>100 board feet</x:v>
      </x:c>
      <x:c r="D51" s="230" t="n">
        <x:v>0.03</x:v>
      </x:c>
      <x:c r="E51" s="227" t="n">
        <x:f>Inputs!S11*(1-Inputs!T11)*D51/Prices!D22</x:f>
        <x:v>5833.333333333333</x:v>
      </x:c>
      <x:c r="F51" s="229" t="n">
        <x:f>Inputs!P11</x:f>
        <x:v>1</x:v>
      </x:c>
      <x:c r="G51" s="231" t="n">
        <x:f>Prices!E22</x:f>
        <x:v>1.8</x:v>
      </x:c>
      <x:c r="H51" s="227" t="n">
        <x:f>E51*F51</x:f>
        <x:v>5833.333333333333</x:v>
      </x:c>
      <x:c r="I51" s="227" t="n">
        <x:f>H51*G51</x:f>
        <x:v>10500</x:v>
      </x:c>
      <x:c r="J51" s="232" t="n">
        <x:v>700</x:v>
      </x:c>
      <x:c r="K51" s="227" t="n">
        <x:f>E51*'Goods'!$C11</x:f>
        <x:v>4958.333333333333</x:v>
      </x:c>
      <x:c r="L51" s="232" t="n">
        <x:v>0</x:v>
      </x:c>
      <x:c r="M51" s="232" t="n">
        <x:v>0</x:v>
      </x:c>
      <x:c r="N51" s="233" t="n">
        <x:v>0.01</x:v>
      </x:c>
      <x:c r="O51" s="227" t="n">
        <x:f>(J51+(H51+M51)/2)*N51</x:f>
        <x:v>36.166666666666664</x:v>
      </x:c>
      <x:c r="P51" s="227" t="n">
        <x:f>SUM(J51,H51,M51)-SUM(K51:L51)-O51</x:f>
        <x:v>1538.8333333333333</x:v>
      </x:c>
      <x:c r="Q51" s="227" t="n">
        <x:f>L51*G51</x:f>
        <x:v>0</x:v>
      </x:c>
      <x:c r="R51" s="227" t="n">
        <x:f>K51*G51</x:f>
        <x:v>8925</x:v>
      </x:c>
      <x:c r="S51" s="227" t="n">
        <x:f>M51*G51</x:f>
        <x:v>0</x:v>
      </x:c>
      <x:c r="T51" s="227" t="n">
        <x:f>O51*G51</x:f>
        <x:v>65.1</x:v>
      </x:c>
      <x:c r="U51" s="227" t="n">
        <x:f>P51*G51</x:f>
        <x:v>2769.9</x:v>
      </x:c>
      <x:c r="V51" s="227" t="n">
        <x:f>J51+H51+M51-K51-L51-O51-P51</x:f>
        <x:v>0</x:v>
      </x:c>
    </x:row>
    <x:row r="52" ht="29" customHeight="1">
      <x:c r="A52" s="222" t="str">
        <x:v>Dorne</x:v>
      </x:c>
      <x:c r="B52" s="227" t="str">
        <x:v>Iron</x:v>
      </x:c>
      <x:c r="C52" s="227" t="str">
        <x:v>hundredweight</x:v>
      </x:c>
      <x:c r="D52" s="230" t="n">
        <x:v>0.02</x:v>
      </x:c>
      <x:c r="E52" s="227" t="n">
        <x:f>Inputs!S11*(1-Inputs!T11)*D52/Prices!D21</x:f>
        <x:v>1750</x:v>
      </x:c>
      <x:c r="F52" s="229" t="n">
        <x:f>Inputs!P11</x:f>
        <x:v>1</x:v>
      </x:c>
      <x:c r="G52" s="231" t="n">
        <x:f>Prices!E21</x:f>
        <x:v>4</x:v>
      </x:c>
      <x:c r="H52" s="227" t="n">
        <x:f>E52*F52</x:f>
        <x:v>1750</x:v>
      </x:c>
      <x:c r="I52" s="227" t="n">
        <x:f>H52*G52</x:f>
        <x:v>7000</x:v>
      </x:c>
      <x:c r="J52" s="232" t="n">
        <x:v>210</x:v>
      </x:c>
      <x:c r="K52" s="227" t="n">
        <x:f>E52*'Goods'!$C11</x:f>
        <x:v>1487.5</x:v>
      </x:c>
      <x:c r="L52" s="232" t="n">
        <x:v>0</x:v>
      </x:c>
      <x:c r="M52" s="232" t="n">
        <x:v>0</x:v>
      </x:c>
      <x:c r="N52" s="233" t="n">
        <x:v>0.005</x:v>
      </x:c>
      <x:c r="O52" s="227" t="n">
        <x:f>(J52+(H52+M52)/2)*N52</x:f>
        <x:v>5.425</x:v>
      </x:c>
      <x:c r="P52" s="227" t="n">
        <x:f>SUM(J52,H52,M52)-SUM(K52:L52)-O52</x:f>
        <x:v>467.075</x:v>
      </x:c>
      <x:c r="Q52" s="227" t="n">
        <x:f>L52*G52</x:f>
        <x:v>0</x:v>
      </x:c>
      <x:c r="R52" s="227" t="n">
        <x:f>K52*G52</x:f>
        <x:v>5950</x:v>
      </x:c>
      <x:c r="S52" s="227" t="n">
        <x:f>M52*G52</x:f>
        <x:v>0</x:v>
      </x:c>
      <x:c r="T52" s="227" t="n">
        <x:f>O52*G52</x:f>
        <x:v>21.7</x:v>
      </x:c>
      <x:c r="U52" s="227" t="n">
        <x:f>P52*G52</x:f>
        <x:v>1868.3</x:v>
      </x:c>
      <x:c r="V52" s="227" t="n">
        <x:f>J52+H52+M52-K52-L52-O52-P52</x:f>
        <x:v>0</x:v>
      </x:c>
    </x:row>
    <x:row r="53" ht="29" customHeight="1">
      <x:c r="A53" s="222" t="str">
        <x:v>Dorne</x:v>
      </x:c>
      <x:c r="B53" s="227" t="str">
        <x:v>Preserved fish</x:v>
      </x:c>
      <x:c r="C53" s="227" t="str">
        <x:v>100 lb planning loads</x:v>
      </x:c>
      <x:c r="D53" s="230" t="n">
        <x:v>0.05</x:v>
      </x:c>
      <x:c r="E53" s="227" t="n">
        <x:f>Inputs!S11*(1-Inputs!T11)*D53/Prices!D53</x:f>
        <x:v>4375</x:v>
      </x:c>
      <x:c r="F53" s="229" t="n">
        <x:f>Inputs!P11</x:f>
        <x:v>1</x:v>
      </x:c>
      <x:c r="G53" s="231" t="n">
        <x:f>Prices!E53</x:f>
        <x:v>4</x:v>
      </x:c>
      <x:c r="H53" s="227" t="n">
        <x:f>E53*F53</x:f>
        <x:v>4375</x:v>
      </x:c>
      <x:c r="I53" s="227" t="n">
        <x:f>H53*G53</x:f>
        <x:v>17500</x:v>
      </x:c>
      <x:c r="J53" s="232" t="n">
        <x:v>525</x:v>
      </x:c>
      <x:c r="K53" s="227" t="n">
        <x:f>E53*'Goods'!$C11</x:f>
        <x:v>3718.75</x:v>
      </x:c>
      <x:c r="L53" s="232" t="n">
        <x:v>0</x:v>
      </x:c>
      <x:c r="M53" s="232" t="n">
        <x:v>0</x:v>
      </x:c>
      <x:c r="N53" s="233" t="n">
        <x:v>0.05</x:v>
      </x:c>
      <x:c r="O53" s="227" t="n">
        <x:f>(J53+(H53+M53)/2)*N53</x:f>
        <x:v>135.625</x:v>
      </x:c>
      <x:c r="P53" s="227" t="n">
        <x:f>SUM(J53,H53,M53)-SUM(K53:L53)-O53</x:f>
        <x:v>1045.625</x:v>
      </x:c>
      <x:c r="Q53" s="227" t="n">
        <x:f>L53*G53</x:f>
        <x:v>0</x:v>
      </x:c>
      <x:c r="R53" s="227" t="n">
        <x:f>K53*G53</x:f>
        <x:v>14875</x:v>
      </x:c>
      <x:c r="S53" s="227" t="n">
        <x:f>M53*G53</x:f>
        <x:v>0</x:v>
      </x:c>
      <x:c r="T53" s="227" t="n">
        <x:f>O53*G53</x:f>
        <x:v>542.5</x:v>
      </x:c>
      <x:c r="U53" s="227" t="n">
        <x:f>P53*G53</x:f>
        <x:v>4182.5</x:v>
      </x:c>
      <x:c r="V53" s="227" t="n">
        <x:f>J53+H53+M53-K53-L53-O53-P53</x:f>
        <x:v>0</x:v>
      </x:c>
    </x:row>
    <x:row r="54" ht="29" customHeight="1">
      <x:c r="A54" s="222" t="str">
        <x:v>Iron Islands</x:v>
      </x:c>
      <x:c r="B54" s="227" t="str">
        <x:v>Wheat</x:v>
      </x:c>
      <x:c r="C54" s="227" t="str">
        <x:v>bushels</x:v>
      </x:c>
      <x:c r="D54" s="230" t="n">
        <x:v>0.1</x:v>
      </x:c>
      <x:c r="E54" s="227" t="n">
        <x:f>Inputs!S12*(1-Inputs!T12)*D54/Prices!D8</x:f>
        <x:v>120000</x:v>
      </x:c>
      <x:c r="F54" s="229" t="n">
        <x:f>Inputs!P12</x:f>
        <x:v>1</x:v>
      </x:c>
      <x:c r="G54" s="231" t="n">
        <x:f>Prices!E8</x:f>
        <x:v>0.15</x:v>
      </x:c>
      <x:c r="H54" s="227" t="n">
        <x:f>E54*F54</x:f>
        <x:v>120000</x:v>
      </x:c>
      <x:c r="I54" s="227" t="n">
        <x:f>H54*G54</x:f>
        <x:v>18000</x:v>
      </x:c>
      <x:c r="J54" s="232" t="n">
        <x:f>Inputs!K12</x:f>
        <x:v>60000</x:v>
      </x:c>
      <x:c r="K54" s="227" t="n">
        <x:f>E54*'Goods'!$C12</x:f>
        <x:v>102000</x:v>
      </x:c>
      <x:c r="L54" s="232" t="n">
        <x:v>0</x:v>
      </x:c>
      <x:c r="M54" s="232" t="n">
        <x:v>0</x:v>
      </x:c>
      <x:c r="N54" s="233" t="n">
        <x:v>0.05</x:v>
      </x:c>
      <x:c r="O54" s="227" t="n">
        <x:f>(J54+(H54+M54)/2)*N54</x:f>
        <x:v>6000</x:v>
      </x:c>
      <x:c r="P54" s="227" t="n">
        <x:f>SUM(J54,H54,M54)-SUM(K54:L54)-O54</x:f>
        <x:v>72000</x:v>
      </x:c>
      <x:c r="Q54" s="227" t="n">
        <x:f>L54*G54</x:f>
        <x:v>0</x:v>
      </x:c>
      <x:c r="R54" s="227" t="n">
        <x:f>K54*G54</x:f>
        <x:v>15300</x:v>
      </x:c>
      <x:c r="S54" s="227" t="n">
        <x:f>M54*G54</x:f>
        <x:v>0</x:v>
      </x:c>
      <x:c r="T54" s="227" t="n">
        <x:f>O54*G54</x:f>
        <x:v>900</x:v>
      </x:c>
      <x:c r="U54" s="227" t="n">
        <x:f>P54*G54</x:f>
        <x:v>10800</x:v>
      </x:c>
      <x:c r="V54" s="227" t="n">
        <x:f>J54+H54+M54-K54-L54-O54-P54</x:f>
        <x:v>0</x:v>
      </x:c>
    </x:row>
    <x:row r="55" ht="29" customHeight="1">
      <x:c r="A55" s="222" t="str">
        <x:v>Iron Islands</x:v>
      </x:c>
      <x:c r="B55" s="227" t="str">
        <x:v>Livestock basket</x:v>
      </x:c>
      <x:c r="C55" s="227" t="str">
        <x:v>cow-equivalent animals</x:v>
      </x:c>
      <x:c r="D55" s="230" t="n">
        <x:v>0.05</x:v>
      </x:c>
      <x:c r="E55" s="227" t="n">
        <x:f>Inputs!S12*(1-Inputs!T12)*D55/Prices!D17</x:f>
        <x:v>1125</x:v>
      </x:c>
      <x:c r="F55" s="229" t="n">
        <x:f>Inputs!P12</x:f>
        <x:v>1</x:v>
      </x:c>
      <x:c r="G55" s="231" t="n">
        <x:f>Prices!E17</x:f>
        <x:v>8</x:v>
      </x:c>
      <x:c r="H55" s="227" t="n">
        <x:f>E55*F55</x:f>
        <x:v>1125</x:v>
      </x:c>
      <x:c r="I55" s="227" t="n">
        <x:f>H55*G55</x:f>
        <x:v>9000</x:v>
      </x:c>
      <x:c r="J55" s="232" t="n">
        <x:v>135</x:v>
      </x:c>
      <x:c r="K55" s="227" t="n">
        <x:f>E55*'Goods'!$C12</x:f>
        <x:v>956.25</x:v>
      </x:c>
      <x:c r="L55" s="232" t="n">
        <x:v>0</x:v>
      </x:c>
      <x:c r="M55" s="232" t="n">
        <x:v>0</x:v>
      </x:c>
      <x:c r="N55" s="233" t="n">
        <x:v>0.02</x:v>
      </x:c>
      <x:c r="O55" s="227" t="n">
        <x:f>(J55+(H55+M55)/2)*N55</x:f>
        <x:v>13.950000000000001</x:v>
      </x:c>
      <x:c r="P55" s="227" t="n">
        <x:f>SUM(J55,H55,M55)-SUM(K55:L55)-O55</x:f>
        <x:v>289.8</x:v>
      </x:c>
      <x:c r="Q55" s="227" t="n">
        <x:f>L55*G55</x:f>
        <x:v>0</x:v>
      </x:c>
      <x:c r="R55" s="227" t="n">
        <x:f>K55*G55</x:f>
        <x:v>7650</x:v>
      </x:c>
      <x:c r="S55" s="227" t="n">
        <x:f>M55*G55</x:f>
        <x:v>0</x:v>
      </x:c>
      <x:c r="T55" s="227" t="n">
        <x:f>O55*G55</x:f>
        <x:v>111.60000000000001</x:v>
      </x:c>
      <x:c r="U55" s="227" t="n">
        <x:f>P55*G55</x:f>
        <x:v>2318.4</x:v>
      </x:c>
      <x:c r="V55" s="227" t="n">
        <x:f>J55+H55+M55-K55-L55-O55-P55</x:f>
        <x:v>0</x:v>
      </x:c>
    </x:row>
    <x:row r="56" ht="29" customHeight="1">
      <x:c r="A56" s="222" t="str">
        <x:v>Iron Islands</x:v>
      </x:c>
      <x:c r="B56" s="227" t="str">
        <x:v>Wine</x:v>
      </x:c>
      <x:c r="C56" s="227" t="str">
        <x:v>gallons, common equivalent</x:v>
      </x:c>
      <x:c r="D56" s="230" t="n">
        <x:v>0.02</x:v>
      </x:c>
      <x:c r="E56" s="227" t="n">
        <x:f>Inputs!S12*(1-Inputs!T12)*D56/Prices!D15</x:f>
        <x:v>30000</x:v>
      </x:c>
      <x:c r="F56" s="229" t="n">
        <x:f>Inputs!P12</x:f>
        <x:v>1</x:v>
      </x:c>
      <x:c r="G56" s="231" t="n">
        <x:f>Prices!E15</x:f>
        <x:v>0.12</x:v>
      </x:c>
      <x:c r="H56" s="227" t="n">
        <x:f>E56*F56</x:f>
        <x:v>30000</x:v>
      </x:c>
      <x:c r="I56" s="227" t="n">
        <x:f>H56*G56</x:f>
        <x:v>3600</x:v>
      </x:c>
      <x:c r="J56" s="232" t="n">
        <x:v>3600</x:v>
      </x:c>
      <x:c r="K56" s="227" t="n">
        <x:f>E56*'Goods'!$C12</x:f>
        <x:v>25500</x:v>
      </x:c>
      <x:c r="L56" s="232" t="n">
        <x:v>0</x:v>
      </x:c>
      <x:c r="M56" s="232" t="n">
        <x:v>0</x:v>
      </x:c>
      <x:c r="N56" s="233" t="n">
        <x:v>0.04</x:v>
      </x:c>
      <x:c r="O56" s="227" t="n">
        <x:f>(J56+(H56+M56)/2)*N56</x:f>
        <x:v>744</x:v>
      </x:c>
      <x:c r="P56" s="227" t="n">
        <x:f>SUM(J56,H56,M56)-SUM(K56:L56)-O56</x:f>
        <x:v>7356</x:v>
      </x:c>
      <x:c r="Q56" s="227" t="n">
        <x:f>L56*G56</x:f>
        <x:v>0</x:v>
      </x:c>
      <x:c r="R56" s="227" t="n">
        <x:f>K56*G56</x:f>
        <x:v>3060</x:v>
      </x:c>
      <x:c r="S56" s="227" t="n">
        <x:f>M56*G56</x:f>
        <x:v>0</x:v>
      </x:c>
      <x:c r="T56" s="227" t="n">
        <x:f>O56*G56</x:f>
        <x:v>89.28</x:v>
      </x:c>
      <x:c r="U56" s="227" t="n">
        <x:f>P56*G56</x:f>
        <x:v>882.7199999999999</x:v>
      </x:c>
      <x:c r="V56" s="227" t="n">
        <x:f>J56+H56+M56-K56-L56-O56-P56</x:f>
        <x:v>0</x:v>
      </x:c>
    </x:row>
    <x:row r="57" ht="29" customHeight="1">
      <x:c r="A57" s="222" t="str">
        <x:v>Iron Islands</x:v>
      </x:c>
      <x:c r="B57" s="227" t="str">
        <x:v>Cloth</x:v>
      </x:c>
      <x:c r="C57" s="227" t="str">
        <x:v>yards, coarse wool equivalent</x:v>
      </x:c>
      <x:c r="D57" s="230" t="n">
        <x:v>0.05</x:v>
      </x:c>
      <x:c r="E57" s="227" t="n">
        <x:f>Inputs!S12*(1-Inputs!T12)*D57/Prices!D52</x:f>
        <x:v>112500</x:v>
      </x:c>
      <x:c r="F57" s="229" t="n">
        <x:f>Inputs!P12</x:f>
        <x:v>1</x:v>
      </x:c>
      <x:c r="G57" s="231" t="n">
        <x:f>Prices!E52</x:f>
        <x:v>0.08</x:v>
      </x:c>
      <x:c r="H57" s="227" t="n">
        <x:f>E57*F57</x:f>
        <x:v>112500</x:v>
      </x:c>
      <x:c r="I57" s="227" t="n">
        <x:f>H57*G57</x:f>
        <x:v>9000</x:v>
      </x:c>
      <x:c r="J57" s="232" t="n">
        <x:v>13500</x:v>
      </x:c>
      <x:c r="K57" s="227" t="n">
        <x:f>E57*'Goods'!$C12</x:f>
        <x:v>95625</x:v>
      </x:c>
      <x:c r="L57" s="232" t="n">
        <x:v>0</x:v>
      </x:c>
      <x:c r="M57" s="232" t="n">
        <x:v>0</x:v>
      </x:c>
      <x:c r="N57" s="233" t="n">
        <x:v>0.02</x:v>
      </x:c>
      <x:c r="O57" s="227" t="n">
        <x:f>(J57+(H57+M57)/2)*N57</x:f>
        <x:v>1395</x:v>
      </x:c>
      <x:c r="P57" s="227" t="n">
        <x:f>SUM(J57,H57,M57)-SUM(K57:L57)-O57</x:f>
        <x:v>28980</x:v>
      </x:c>
      <x:c r="Q57" s="227" t="n">
        <x:f>L57*G57</x:f>
        <x:v>0</x:v>
      </x:c>
      <x:c r="R57" s="227" t="n">
        <x:f>K57*G57</x:f>
        <x:v>7650</x:v>
      </x:c>
      <x:c r="S57" s="227" t="n">
        <x:f>M57*G57</x:f>
        <x:v>0</x:v>
      </x:c>
      <x:c r="T57" s="227" t="n">
        <x:f>O57*G57</x:f>
        <x:v>111.60000000000001</x:v>
      </x:c>
      <x:c r="U57" s="227" t="n">
        <x:f>P57*G57</x:f>
        <x:v>2318.4</x:v>
      </x:c>
      <x:c r="V57" s="227" t="n">
        <x:f>J57+H57+M57-K57-L57-O57-P57</x:f>
        <x:v>0</x:v>
      </x:c>
    </x:row>
    <x:row r="58" ht="29" customHeight="1">
      <x:c r="A58" s="222" t="str">
        <x:v>Iron Islands</x:v>
      </x:c>
      <x:c r="B58" s="227" t="str">
        <x:v>Timber</x:v>
      </x:c>
      <x:c r="C58" s="227" t="str">
        <x:v>100 board feet</x:v>
      </x:c>
      <x:c r="D58" s="230" t="n">
        <x:v>0.03</x:v>
      </x:c>
      <x:c r="E58" s="227" t="n">
        <x:f>Inputs!S12*(1-Inputs!T12)*D58/Prices!D22</x:f>
        <x:v>3000</x:v>
      </x:c>
      <x:c r="F58" s="229" t="n">
        <x:f>Inputs!P12</x:f>
        <x:v>1</x:v>
      </x:c>
      <x:c r="G58" s="231" t="n">
        <x:f>Prices!E22</x:f>
        <x:v>1.8</x:v>
      </x:c>
      <x:c r="H58" s="227" t="n">
        <x:f>E58*F58</x:f>
        <x:v>3000</x:v>
      </x:c>
      <x:c r="I58" s="227" t="n">
        <x:f>H58*G58</x:f>
        <x:v>5400</x:v>
      </x:c>
      <x:c r="J58" s="232" t="n">
        <x:v>360</x:v>
      </x:c>
      <x:c r="K58" s="227" t="n">
        <x:f>E58*'Goods'!$C12</x:f>
        <x:v>2550</x:v>
      </x:c>
      <x:c r="L58" s="232" t="n">
        <x:v>0</x:v>
      </x:c>
      <x:c r="M58" s="232" t="n">
        <x:v>0</x:v>
      </x:c>
      <x:c r="N58" s="233" t="n">
        <x:v>0.01</x:v>
      </x:c>
      <x:c r="O58" s="227" t="n">
        <x:f>(J58+(H58+M58)/2)*N58</x:f>
        <x:v>18.6</x:v>
      </x:c>
      <x:c r="P58" s="227" t="n">
        <x:f>SUM(J58,H58,M58)-SUM(K58:L58)-O58</x:f>
        <x:v>791.4</x:v>
      </x:c>
      <x:c r="Q58" s="227" t="n">
        <x:f>L58*G58</x:f>
        <x:v>0</x:v>
      </x:c>
      <x:c r="R58" s="227" t="n">
        <x:f>K58*G58</x:f>
        <x:v>4590</x:v>
      </x:c>
      <x:c r="S58" s="227" t="n">
        <x:f>M58*G58</x:f>
        <x:v>0</x:v>
      </x:c>
      <x:c r="T58" s="227" t="n">
        <x:f>O58*G58</x:f>
        <x:v>33.480000000000004</x:v>
      </x:c>
      <x:c r="U58" s="227" t="n">
        <x:f>P58*G58</x:f>
        <x:v>1424.52</x:v>
      </x:c>
      <x:c r="V58" s="227" t="n">
        <x:f>J58+H58+M58-K58-L58-O58-P58</x:f>
        <x:v>0</x:v>
      </x:c>
    </x:row>
    <x:row r="59" ht="29" customHeight="1">
      <x:c r="A59" s="222" t="str">
        <x:v>Iron Islands</x:v>
      </x:c>
      <x:c r="B59" s="227" t="str">
        <x:v>Iron</x:v>
      </x:c>
      <x:c r="C59" s="227" t="str">
        <x:v>hundredweight</x:v>
      </x:c>
      <x:c r="D59" s="230" t="n">
        <x:v>0.45</x:v>
      </x:c>
      <x:c r="E59" s="227" t="n">
        <x:f>Inputs!S12*(1-Inputs!T12)*D59/Prices!D21</x:f>
        <x:v>20250</x:v>
      </x:c>
      <x:c r="F59" s="229" t="n">
        <x:f>Inputs!P12</x:f>
        <x:v>1</x:v>
      </x:c>
      <x:c r="G59" s="231" t="n">
        <x:f>Prices!E21</x:f>
        <x:v>4</x:v>
      </x:c>
      <x:c r="H59" s="227" t="n">
        <x:f>E59*F59</x:f>
        <x:v>20250</x:v>
      </x:c>
      <x:c r="I59" s="227" t="n">
        <x:f>H59*G59</x:f>
        <x:v>81000</x:v>
      </x:c>
      <x:c r="J59" s="232" t="n">
        <x:v>2430</x:v>
      </x:c>
      <x:c r="K59" s="227" t="n">
        <x:f>E59*'Goods'!$C12</x:f>
        <x:v>17212.5</x:v>
      </x:c>
      <x:c r="L59" s="232" t="n">
        <x:v>0</x:v>
      </x:c>
      <x:c r="M59" s="232" t="n">
        <x:v>0</x:v>
      </x:c>
      <x:c r="N59" s="233" t="n">
        <x:v>0.005</x:v>
      </x:c>
      <x:c r="O59" s="227" t="n">
        <x:f>(J59+(H59+M59)/2)*N59</x:f>
        <x:v>62.775</x:v>
      </x:c>
      <x:c r="P59" s="227" t="n">
        <x:f>SUM(J59,H59,M59)-SUM(K59:L59)-O59</x:f>
        <x:v>5404.725</x:v>
      </x:c>
      <x:c r="Q59" s="227" t="n">
        <x:f>L59*G59</x:f>
        <x:v>0</x:v>
      </x:c>
      <x:c r="R59" s="227" t="n">
        <x:f>K59*G59</x:f>
        <x:v>68850</x:v>
      </x:c>
      <x:c r="S59" s="227" t="n">
        <x:f>M59*G59</x:f>
        <x:v>0</x:v>
      </x:c>
      <x:c r="T59" s="227" t="n">
        <x:f>O59*G59</x:f>
        <x:v>251.1</x:v>
      </x:c>
      <x:c r="U59" s="227" t="n">
        <x:f>P59*G59</x:f>
        <x:v>21618.9</x:v>
      </x:c>
      <x:c r="V59" s="227" t="n">
        <x:f>J59+H59+M59-K59-L59-O59-P59</x:f>
        <x:v>0</x:v>
      </x:c>
    </x:row>
    <x:row r="60" ht="29" customHeight="1">
      <x:c r="A60" s="222" t="str">
        <x:v>Iron Islands</x:v>
      </x:c>
      <x:c r="B60" s="227" t="str">
        <x:v>Preserved fish</x:v>
      </x:c>
      <x:c r="C60" s="227" t="str">
        <x:v>100 lb planning loads</x:v>
      </x:c>
      <x:c r="D60" s="230" t="n">
        <x:v>0.3</x:v>
      </x:c>
      <x:c r="E60" s="227" t="n">
        <x:f>Inputs!S12*(1-Inputs!T12)*D60/Prices!D53</x:f>
        <x:v>13500</x:v>
      </x:c>
      <x:c r="F60" s="229" t="n">
        <x:f>Inputs!P12</x:f>
        <x:v>1</x:v>
      </x:c>
      <x:c r="G60" s="231" t="n">
        <x:f>Prices!E53</x:f>
        <x:v>4</x:v>
      </x:c>
      <x:c r="H60" s="227" t="n">
        <x:f>E60*F60</x:f>
        <x:v>13500</x:v>
      </x:c>
      <x:c r="I60" s="227" t="n">
        <x:f>H60*G60</x:f>
        <x:v>54000</x:v>
      </x:c>
      <x:c r="J60" s="232" t="n">
        <x:v>1620</x:v>
      </x:c>
      <x:c r="K60" s="227" t="n">
        <x:f>E60*'Goods'!$C12</x:f>
        <x:v>11475</x:v>
      </x:c>
      <x:c r="L60" s="232" t="n">
        <x:v>0</x:v>
      </x:c>
      <x:c r="M60" s="232" t="n">
        <x:v>0</x:v>
      </x:c>
      <x:c r="N60" s="233" t="n">
        <x:v>0.05</x:v>
      </x:c>
      <x:c r="O60" s="227" t="n">
        <x:f>(J60+(H60+M60)/2)*N60</x:f>
        <x:v>418.5</x:v>
      </x:c>
      <x:c r="P60" s="227" t="n">
        <x:f>SUM(J60,H60,M60)-SUM(K60:L60)-O60</x:f>
        <x:v>3226.5</x:v>
      </x:c>
      <x:c r="Q60" s="227" t="n">
        <x:f>L60*G60</x:f>
        <x:v>0</x:v>
      </x:c>
      <x:c r="R60" s="227" t="n">
        <x:f>K60*G60</x:f>
        <x:v>45900</x:v>
      </x:c>
      <x:c r="S60" s="227" t="n">
        <x:f>M60*G60</x:f>
        <x:v>0</x:v>
      </x:c>
      <x:c r="T60" s="227" t="n">
        <x:f>O60*G60</x:f>
        <x:v>1674</x:v>
      </x:c>
      <x:c r="U60" s="227" t="n">
        <x:f>P60*G60</x:f>
        <x:v>12906</x:v>
      </x:c>
      <x:c r="V60" s="227" t="n">
        <x:f>J60+H60+M60-K60-L60-O60-P60</x:f>
        <x:v>0</x:v>
      </x:c>
    </x:row>
    <x:row r="61" ht="29" customHeight="1">
      <x:c r="A61" s="222" t="str">
        <x:v>Crownlands / Crown</x:v>
      </x:c>
      <x:c r="B61" s="227" t="str">
        <x:v>Wheat</x:v>
      </x:c>
      <x:c r="C61" s="227" t="str">
        <x:v>bushels</x:v>
      </x:c>
      <x:c r="D61" s="230" t="n">
        <x:v>0.4</x:v>
      </x:c>
      <x:c r="E61" s="227" t="n">
        <x:f>Inputs!S13*(1-Inputs!T13)*D61/Prices!D8</x:f>
        <x:v>399999.99999999994</x:v>
      </x:c>
      <x:c r="F61" s="229" t="n">
        <x:f>Inputs!P13</x:f>
        <x:v>1</x:v>
      </x:c>
      <x:c r="G61" s="231" t="n">
        <x:f>Prices!E8</x:f>
        <x:v>0.15</x:v>
      </x:c>
      <x:c r="H61" s="227" t="n">
        <x:f>E61*F61</x:f>
        <x:v>399999.99999999994</x:v>
      </x:c>
      <x:c r="I61" s="227" t="n">
        <x:f>H61*G61</x:f>
        <x:v>59999.999999999985</x:v>
      </x:c>
      <x:c r="J61" s="232" t="n">
        <x:f>Inputs!K13</x:f>
        <x:v>300000</x:v>
      </x:c>
      <x:c r="K61" s="227" t="n">
        <x:f>E61*'Goods'!$C13</x:f>
        <x:v>339999.99999999994</x:v>
      </x:c>
      <x:c r="L61" s="232" t="n">
        <x:v>0</x:v>
      </x:c>
      <x:c r="M61" s="232" t="n">
        <x:v>0</x:v>
      </x:c>
      <x:c r="N61" s="233" t="n">
        <x:v>0.05</x:v>
      </x:c>
      <x:c r="O61" s="227" t="n">
        <x:f>(J61+(H61+M61)/2)*N61</x:f>
        <x:v>25000</x:v>
      </x:c>
      <x:c r="P61" s="227" t="n">
        <x:f>SUM(J61,H61,M61)-SUM(K61:L61)-O61</x:f>
        <x:v>335000.00000000006</x:v>
      </x:c>
      <x:c r="Q61" s="227" t="n">
        <x:f>L61*G61</x:f>
        <x:v>0</x:v>
      </x:c>
      <x:c r="R61" s="227" t="n">
        <x:f>K61*G61</x:f>
        <x:v>50999.99999999999</x:v>
      </x:c>
      <x:c r="S61" s="227" t="n">
        <x:f>M61*G61</x:f>
        <x:v>0</x:v>
      </x:c>
      <x:c r="T61" s="227" t="n">
        <x:f>O61*G61</x:f>
        <x:v>3750</x:v>
      </x:c>
      <x:c r="U61" s="227" t="n">
        <x:f>P61*G61</x:f>
        <x:v>50250.00000000001</x:v>
      </x:c>
      <x:c r="V61" s="227" t="n">
        <x:f>J61+H61+M61-K61-L61-O61-P61</x:f>
        <x:v>0</x:v>
      </x:c>
    </x:row>
    <x:row r="62" ht="29" customHeight="1">
      <x:c r="A62" s="222" t="str">
        <x:v>Crownlands / Crown</x:v>
      </x:c>
      <x:c r="B62" s="227" t="str">
        <x:v>Livestock basket</x:v>
      </x:c>
      <x:c r="C62" s="227" t="str">
        <x:v>cow-equivalent animals</x:v>
      </x:c>
      <x:c r="D62" s="230" t="n">
        <x:v>0.15</x:v>
      </x:c>
      <x:c r="E62" s="227" t="n">
        <x:f>Inputs!S13*(1-Inputs!T13)*D62/Prices!D17</x:f>
        <x:v>2812.4999999999995</x:v>
      </x:c>
      <x:c r="F62" s="229" t="n">
        <x:f>Inputs!P13</x:f>
        <x:v>1</x:v>
      </x:c>
      <x:c r="G62" s="231" t="n">
        <x:f>Prices!E17</x:f>
        <x:v>8</x:v>
      </x:c>
      <x:c r="H62" s="227" t="n">
        <x:f>E62*F62</x:f>
        <x:v>2812.4999999999995</x:v>
      </x:c>
      <x:c r="I62" s="227" t="n">
        <x:f>H62*G62</x:f>
        <x:v>22499.999999999996</x:v>
      </x:c>
      <x:c r="J62" s="232" t="n">
        <x:v>337.5</x:v>
      </x:c>
      <x:c r="K62" s="227" t="n">
        <x:f>E62*'Goods'!$C13</x:f>
        <x:v>2390.6249999999995</x:v>
      </x:c>
      <x:c r="L62" s="232" t="n">
        <x:v>0</x:v>
      </x:c>
      <x:c r="M62" s="232" t="n">
        <x:v>0</x:v>
      </x:c>
      <x:c r="N62" s="233" t="n">
        <x:v>0.02</x:v>
      </x:c>
      <x:c r="O62" s="227" t="n">
        <x:f>(J62+(H62+M62)/2)*N62</x:f>
        <x:v>34.87499999999999</x:v>
      </x:c>
      <x:c r="P62" s="227" t="n">
        <x:f>SUM(J62,H62,M62)-SUM(K62:L62)-O62</x:f>
        <x:v>724.5</x:v>
      </x:c>
      <x:c r="Q62" s="227" t="n">
        <x:f>L62*G62</x:f>
        <x:v>0</x:v>
      </x:c>
      <x:c r="R62" s="227" t="n">
        <x:f>K62*G62</x:f>
        <x:v>19124.999999999996</x:v>
      </x:c>
      <x:c r="S62" s="227" t="n">
        <x:f>M62*G62</x:f>
        <x:v>0</x:v>
      </x:c>
      <x:c r="T62" s="227" t="n">
        <x:f>O62*G62</x:f>
        <x:v>278.99999999999994</x:v>
      </x:c>
      <x:c r="U62" s="227" t="n">
        <x:f>P62*G62</x:f>
        <x:v>5796</x:v>
      </x:c>
      <x:c r="V62" s="227" t="n">
        <x:f>J62+H62+M62-K62-L62-O62-P62</x:f>
        <x:v>0</x:v>
      </x:c>
    </x:row>
    <x:row r="63" ht="29" customHeight="1">
      <x:c r="A63" s="222" t="str">
        <x:v>Crownlands / Crown</x:v>
      </x:c>
      <x:c r="B63" s="227" t="str">
        <x:v>Wine</x:v>
      </x:c>
      <x:c r="C63" s="227" t="str">
        <x:v>gallons, common equivalent</x:v>
      </x:c>
      <x:c r="D63" s="230" t="n">
        <x:v>0.1</x:v>
      </x:c>
      <x:c r="E63" s="227" t="n">
        <x:f>Inputs!S13*(1-Inputs!T13)*D63/Prices!D15</x:f>
        <x:v>124999.99999999999</x:v>
      </x:c>
      <x:c r="F63" s="229" t="n">
        <x:f>Inputs!P13</x:f>
        <x:v>1</x:v>
      </x:c>
      <x:c r="G63" s="231" t="n">
        <x:f>Prices!E15</x:f>
        <x:v>0.12</x:v>
      </x:c>
      <x:c r="H63" s="227" t="n">
        <x:f>E63*F63</x:f>
        <x:v>124999.99999999999</x:v>
      </x:c>
      <x:c r="I63" s="227" t="n">
        <x:f>H63*G63</x:f>
        <x:v>14999.999999999998</x:v>
      </x:c>
      <x:c r="J63" s="232" t="n">
        <x:v>15000</x:v>
      </x:c>
      <x:c r="K63" s="227" t="n">
        <x:f>E63*'Goods'!$C13</x:f>
        <x:v>106249.99999999999</x:v>
      </x:c>
      <x:c r="L63" s="232" t="n">
        <x:v>0</x:v>
      </x:c>
      <x:c r="M63" s="232" t="n">
        <x:v>0</x:v>
      </x:c>
      <x:c r="N63" s="233" t="n">
        <x:v>0.04</x:v>
      </x:c>
      <x:c r="O63" s="227" t="n">
        <x:f>(J63+(H63+M63)/2)*N63</x:f>
        <x:v>3100</x:v>
      </x:c>
      <x:c r="P63" s="227" t="n">
        <x:f>SUM(J63,H63,M63)-SUM(K63:L63)-O63</x:f>
        <x:v>30650.000000000015</x:v>
      </x:c>
      <x:c r="Q63" s="227" t="n">
        <x:f>L63*G63</x:f>
        <x:v>0</x:v>
      </x:c>
      <x:c r="R63" s="227" t="n">
        <x:f>K63*G63</x:f>
        <x:v>12749.999999999998</x:v>
      </x:c>
      <x:c r="S63" s="227" t="n">
        <x:f>M63*G63</x:f>
        <x:v>0</x:v>
      </x:c>
      <x:c r="T63" s="227" t="n">
        <x:f>O63*G63</x:f>
        <x:v>372</x:v>
      </x:c>
      <x:c r="U63" s="227" t="n">
        <x:f>P63*G63</x:f>
        <x:v>3678.000000000002</x:v>
      </x:c>
      <x:c r="V63" s="227" t="n">
        <x:f>J63+H63+M63-K63-L63-O63-P63</x:f>
        <x:v>0</x:v>
      </x:c>
    </x:row>
    <x:row r="64" ht="29" customHeight="1">
      <x:c r="A64" s="222" t="str">
        <x:v>Crownlands / Crown</x:v>
      </x:c>
      <x:c r="B64" s="227" t="str">
        <x:v>Cloth</x:v>
      </x:c>
      <x:c r="C64" s="227" t="str">
        <x:v>yards, coarse wool equivalent</x:v>
      </x:c>
      <x:c r="D64" s="230" t="n">
        <x:v>0.15</x:v>
      </x:c>
      <x:c r="E64" s="227" t="n">
        <x:f>Inputs!S13*(1-Inputs!T13)*D64/Prices!D52</x:f>
        <x:v>281249.99999999994</x:v>
      </x:c>
      <x:c r="F64" s="229" t="n">
        <x:f>Inputs!P13</x:f>
        <x:v>1</x:v>
      </x:c>
      <x:c r="G64" s="231" t="n">
        <x:f>Prices!E52</x:f>
        <x:v>0.08</x:v>
      </x:c>
      <x:c r="H64" s="227" t="n">
        <x:f>E64*F64</x:f>
        <x:v>281249.99999999994</x:v>
      </x:c>
      <x:c r="I64" s="227" t="n">
        <x:f>H64*G64</x:f>
        <x:v>22499.999999999996</x:v>
      </x:c>
      <x:c r="J64" s="232" t="n">
        <x:v>33750</x:v>
      </x:c>
      <x:c r="K64" s="227" t="n">
        <x:f>E64*'Goods'!$C13</x:f>
        <x:v>239062.49999999994</x:v>
      </x:c>
      <x:c r="L64" s="232" t="n">
        <x:v>0</x:v>
      </x:c>
      <x:c r="M64" s="232" t="n">
        <x:v>0</x:v>
      </x:c>
      <x:c r="N64" s="233" t="n">
        <x:v>0.02</x:v>
      </x:c>
      <x:c r="O64" s="227" t="n">
        <x:f>(J64+(H64+M64)/2)*N64</x:f>
        <x:v>3487.4999999999995</x:v>
      </x:c>
      <x:c r="P64" s="227" t="n">
        <x:f>SUM(J64,H64,M64)-SUM(K64:L64)-O64</x:f>
        <x:v>72450</x:v>
      </x:c>
      <x:c r="Q64" s="227" t="n">
        <x:f>L64*G64</x:f>
        <x:v>0</x:v>
      </x:c>
      <x:c r="R64" s="227" t="n">
        <x:f>K64*G64</x:f>
        <x:v>19124.999999999996</x:v>
      </x:c>
      <x:c r="S64" s="227" t="n">
        <x:f>M64*G64</x:f>
        <x:v>0</x:v>
      </x:c>
      <x:c r="T64" s="227" t="n">
        <x:f>O64*G64</x:f>
        <x:v>278.99999999999994</x:v>
      </x:c>
      <x:c r="U64" s="227" t="n">
        <x:f>P64*G64</x:f>
        <x:v>5796</x:v>
      </x:c>
      <x:c r="V64" s="227" t="n">
        <x:f>J64+H64+M64-K64-L64-O64-P64</x:f>
        <x:v>0</x:v>
      </x:c>
    </x:row>
    <x:row r="65" ht="29" customHeight="1">
      <x:c r="A65" s="222" t="str">
        <x:v>Crownlands / Crown</x:v>
      </x:c>
      <x:c r="B65" s="227" t="str">
        <x:v>Timber</x:v>
      </x:c>
      <x:c r="C65" s="227" t="str">
        <x:v>100 board feet</x:v>
      </x:c>
      <x:c r="D65" s="230" t="n">
        <x:v>0.1</x:v>
      </x:c>
      <x:c r="E65" s="227" t="n">
        <x:f>Inputs!S13*(1-Inputs!T13)*D65/Prices!D22</x:f>
        <x:v>8333.333333333332</x:v>
      </x:c>
      <x:c r="F65" s="229" t="n">
        <x:f>Inputs!P13</x:f>
        <x:v>1</x:v>
      </x:c>
      <x:c r="G65" s="231" t="n">
        <x:f>Prices!E22</x:f>
        <x:v>1.8</x:v>
      </x:c>
      <x:c r="H65" s="227" t="n">
        <x:f>E65*F65</x:f>
        <x:v>8333.333333333332</x:v>
      </x:c>
      <x:c r="I65" s="227" t="n">
        <x:f>H65*G65</x:f>
        <x:v>14999.999999999998</x:v>
      </x:c>
      <x:c r="J65" s="232" t="n">
        <x:v>1000</x:v>
      </x:c>
      <x:c r="K65" s="227" t="n">
        <x:f>E65*'Goods'!$C13</x:f>
        <x:v>7083.333333333332</x:v>
      </x:c>
      <x:c r="L65" s="232" t="n">
        <x:v>0</x:v>
      </x:c>
      <x:c r="M65" s="232" t="n">
        <x:v>0</x:v>
      </x:c>
      <x:c r="N65" s="233" t="n">
        <x:v>0.01</x:v>
      </x:c>
      <x:c r="O65" s="227" t="n">
        <x:f>(J65+(H65+M65)/2)*N65</x:f>
        <x:v>51.666666666666664</x:v>
      </x:c>
      <x:c r="P65" s="227" t="n">
        <x:f>SUM(J65,H65,M65)-SUM(K65:L65)-O65</x:f>
        <x:v>2198.3333333333335</x:v>
      </x:c>
      <x:c r="Q65" s="227" t="n">
        <x:f>L65*G65</x:f>
        <x:v>0</x:v>
      </x:c>
      <x:c r="R65" s="227" t="n">
        <x:f>K65*G65</x:f>
        <x:v>12749.999999999998</x:v>
      </x:c>
      <x:c r="S65" s="227" t="n">
        <x:f>M65*G65</x:f>
        <x:v>0</x:v>
      </x:c>
      <x:c r="T65" s="227" t="n">
        <x:f>O65*G65</x:f>
        <x:v>93</x:v>
      </x:c>
      <x:c r="U65" s="227" t="n">
        <x:f>P65*G65</x:f>
        <x:v>3957.0000000000005</x:v>
      </x:c>
      <x:c r="V65" s="227" t="n">
        <x:f>J65+H65+M65-K65-L65-O65-P65</x:f>
        <x:v>0</x:v>
      </x:c>
    </x:row>
    <x:row r="66" ht="29" customHeight="1">
      <x:c r="A66" s="222" t="str">
        <x:v>Crownlands / Crown</x:v>
      </x:c>
      <x:c r="B66" s="227" t="str">
        <x:v>Iron</x:v>
      </x:c>
      <x:c r="C66" s="227" t="str">
        <x:v>hundredweight</x:v>
      </x:c>
      <x:c r="D66" s="230" t="n">
        <x:v>0.05</x:v>
      </x:c>
      <x:c r="E66" s="227" t="n">
        <x:f>Inputs!S13*(1-Inputs!T13)*D66/Prices!D21</x:f>
        <x:v>1874.9999999999998</x:v>
      </x:c>
      <x:c r="F66" s="229" t="n">
        <x:f>Inputs!P13</x:f>
        <x:v>1</x:v>
      </x:c>
      <x:c r="G66" s="231" t="n">
        <x:f>Prices!E21</x:f>
        <x:v>4</x:v>
      </x:c>
      <x:c r="H66" s="227" t="n">
        <x:f>E66*F66</x:f>
        <x:v>1874.9999999999998</x:v>
      </x:c>
      <x:c r="I66" s="227" t="n">
        <x:f>H66*G66</x:f>
        <x:v>7499.999999999999</x:v>
      </x:c>
      <x:c r="J66" s="232" t="n">
        <x:v>225</x:v>
      </x:c>
      <x:c r="K66" s="227" t="n">
        <x:f>E66*'Goods'!$C13</x:f>
        <x:v>1593.7499999999998</x:v>
      </x:c>
      <x:c r="L66" s="232" t="n">
        <x:v>0</x:v>
      </x:c>
      <x:c r="M66" s="232" t="n">
        <x:v>0</x:v>
      </x:c>
      <x:c r="N66" s="233" t="n">
        <x:v>0.005</x:v>
      </x:c>
      <x:c r="O66" s="227" t="n">
        <x:f>(J66+(H66+M66)/2)*N66</x:f>
        <x:v>5.8125</x:v>
      </x:c>
      <x:c r="P66" s="227" t="n">
        <x:f>SUM(J66,H66,M66)-SUM(K66:L66)-O66</x:f>
        <x:v>500.4375000000002</x:v>
      </x:c>
      <x:c r="Q66" s="227" t="n">
        <x:f>L66*G66</x:f>
        <x:v>0</x:v>
      </x:c>
      <x:c r="R66" s="227" t="n">
        <x:f>K66*G66</x:f>
        <x:v>6374.999999999999</x:v>
      </x:c>
      <x:c r="S66" s="227" t="n">
        <x:f>M66*G66</x:f>
        <x:v>0</x:v>
      </x:c>
      <x:c r="T66" s="227" t="n">
        <x:f>O66*G66</x:f>
        <x:v>23.25</x:v>
      </x:c>
      <x:c r="U66" s="227" t="n">
        <x:f>P66*G66</x:f>
        <x:v>2001.750000000001</x:v>
      </x:c>
      <x:c r="V66" s="227" t="n">
        <x:f>J66+H66+M66-K66-L66-O66-P66</x:f>
        <x:v>0</x:v>
      </x:c>
    </x:row>
    <x:row r="67" ht="29" customHeight="1">
      <x:c r="A67" s="222" t="str">
        <x:v>Crownlands / Crown</x:v>
      </x:c>
      <x:c r="B67" s="227" t="str">
        <x:v>Preserved fish</x:v>
      </x:c>
      <x:c r="C67" s="227" t="str">
        <x:v>100 lb planning loads</x:v>
      </x:c>
      <x:c r="D67" s="230" t="n">
        <x:v>0.05</x:v>
      </x:c>
      <x:c r="E67" s="227" t="n">
        <x:f>Inputs!S13*(1-Inputs!T13)*D67/Prices!D53</x:f>
        <x:v>1874.9999999999998</x:v>
      </x:c>
      <x:c r="F67" s="229" t="n">
        <x:f>Inputs!P13</x:f>
        <x:v>1</x:v>
      </x:c>
      <x:c r="G67" s="231" t="n">
        <x:f>Prices!E53</x:f>
        <x:v>4</x:v>
      </x:c>
      <x:c r="H67" s="227" t="n">
        <x:f>E67*F67</x:f>
        <x:v>1874.9999999999998</x:v>
      </x:c>
      <x:c r="I67" s="227" t="n">
        <x:f>H67*G67</x:f>
        <x:v>7499.999999999999</x:v>
      </x:c>
      <x:c r="J67" s="232" t="n">
        <x:v>225</x:v>
      </x:c>
      <x:c r="K67" s="227" t="n">
        <x:f>E67*'Goods'!$C13</x:f>
        <x:v>1593.7499999999998</x:v>
      </x:c>
      <x:c r="L67" s="232" t="n">
        <x:v>0</x:v>
      </x:c>
      <x:c r="M67" s="232" t="n">
        <x:v>0</x:v>
      </x:c>
      <x:c r="N67" s="233" t="n">
        <x:v>0.05</x:v>
      </x:c>
      <x:c r="O67" s="227" t="n">
        <x:f>(J67+(H67+M67)/2)*N67</x:f>
        <x:v>58.125</x:v>
      </x:c>
      <x:c r="P67" s="227" t="n">
        <x:f>SUM(J67,H67,M67)-SUM(K67:L67)-O67</x:f>
        <x:v>448.1250000000002</x:v>
      </x:c>
      <x:c r="Q67" s="227" t="n">
        <x:f>L67*G67</x:f>
        <x:v>0</x:v>
      </x:c>
      <x:c r="R67" s="227" t="n">
        <x:f>K67*G67</x:f>
        <x:v>6374.999999999999</x:v>
      </x:c>
      <x:c r="S67" s="227" t="n">
        <x:f>M67*G67</x:f>
        <x:v>0</x:v>
      </x:c>
      <x:c r="T67" s="227" t="n">
        <x:f>O67*G67</x:f>
        <x:v>232.5</x:v>
      </x:c>
      <x:c r="U67" s="227" t="n">
        <x:f>P67*G67</x:f>
        <x:v>1792.500000000001</x:v>
      </x:c>
      <x:c r="V67" s="227" t="n">
        <x:f>J67+H67+M67-K67-L67-O67-P67</x:f>
        <x:v>0</x:v>
      </x:c>
    </x:row>
    <x:row r="68" ht="29" customHeight="1">
      <x:c r="A68" s="222"/>
      <x:c r="B68" s="227"/>
      <x:c r="C68" s="227"/>
      <x:c r="D68" s="227"/>
      <x:c r="E68" s="227"/>
      <x:c r="F68" s="227"/>
      <x:c r="G68" s="227"/>
      <x:c r="H68" s="227"/>
      <x:c r="I68" s="227"/>
      <x:c r="J68" s="227"/>
      <x:c r="K68" s="227"/>
      <x:c r="L68" s="227"/>
      <x:c r="M68" s="227"/>
      <x:c r="N68" s="227"/>
      <x:c r="O68" s="227"/>
      <x:c r="P68" s="227"/>
      <x:c r="Q68" s="227"/>
      <x:c r="R68" s="227"/>
      <x:c r="S68" s="227"/>
      <x:c r="T68" s="227"/>
      <x:c r="U68" s="227"/>
      <x:c r="V68" s="227"/>
    </x:row>
    <x:row r="69" ht="29" customHeight="1">
      <x:c r="A69" s="222"/>
      <x:c r="B69" s="227"/>
      <x:c r="C69" s="227"/>
      <x:c r="D69" s="227"/>
      <x:c r="E69" s="227"/>
      <x:c r="F69" s="227"/>
      <x:c r="G69" s="227"/>
      <x:c r="H69" s="227"/>
      <x:c r="I69" s="227"/>
      <x:c r="J69" s="227"/>
      <x:c r="K69" s="227"/>
      <x:c r="L69" s="227"/>
      <x:c r="M69" s="227"/>
      <x:c r="N69" s="227"/>
      <x:c r="O69" s="227"/>
      <x:c r="P69" s="227"/>
      <x:c r="Q69" s="227"/>
      <x:c r="R69" s="227"/>
      <x:c r="S69" s="227"/>
      <x:c r="T69" s="227"/>
      <x:c r="U69" s="227"/>
      <x:c r="V69" s="227"/>
    </x:row>
    <x:row r="70" ht="29" customHeight="1">
      <x:c r="A70" s="235" t="str">
        <x:v>Goods use is a planned obligation at 85% of normal tax quantities; poor collections do not automatically make that obligation disappear.</x:v>
      </x:c>
      <x:c r="B70" s="234"/>
      <x:c r="C70" s="234"/>
      <x:c r="D70" s="234"/>
      <x:c r="E70" s="234"/>
      <x:c r="F70" s="234"/>
      <x:c r="G70" s="234"/>
      <x:c r="H70" s="234"/>
      <x:c r="I70" s="227"/>
      <x:c r="J70" s="227"/>
      <x:c r="K70" s="227"/>
      <x:c r="L70" s="227"/>
      <x:c r="M70" s="227"/>
      <x:c r="N70" s="227"/>
      <x:c r="O70" s="227"/>
      <x:c r="P70" s="227"/>
      <x:c r="Q70" s="227"/>
      <x:c r="R70" s="227"/>
      <x:c r="S70" s="227"/>
      <x:c r="T70" s="227"/>
      <x:c r="U70" s="227"/>
      <x:c r="V70" s="227"/>
    </x:row>
    <x:row r="71" ht="29" customHeight="1">
      <x:c r="A71" s="235"/>
      <x:c r="B71" s="234"/>
      <x:c r="C71" s="234"/>
      <x:c r="D71" s="234"/>
      <x:c r="E71" s="234"/>
      <x:c r="F71" s="234"/>
      <x:c r="G71" s="234"/>
      <x:c r="H71" s="234"/>
      <x:c r="I71" s="227"/>
      <x:c r="J71" s="227"/>
      <x:c r="K71" s="227"/>
      <x:c r="L71" s="227"/>
      <x:c r="M71" s="227"/>
      <x:c r="N71" s="227"/>
      <x:c r="O71" s="227"/>
      <x:c r="P71" s="227"/>
      <x:c r="Q71" s="227"/>
      <x:c r="R71" s="227"/>
      <x:c r="S71" s="227"/>
      <x:c r="T71" s="227"/>
      <x:c r="U71" s="227"/>
      <x:c r="V71" s="227"/>
    </x:row>
    <x:row r="72" ht="29" customHeight="1">
      <x:c r="A72" s="235" t="str">
        <x:v>Sold quantity adds cash to Income; bought quantity adds cash cost to Outlays. Neither is a second tax receipt. Check no negative stock.</x:v>
      </x:c>
      <x:c r="B72" s="234"/>
      <x:c r="C72" s="234"/>
      <x:c r="D72" s="234"/>
      <x:c r="E72" s="234"/>
      <x:c r="F72" s="234"/>
      <x:c r="G72" s="234"/>
      <x:c r="H72" s="234"/>
      <x:c r="I72" s="227"/>
      <x:c r="J72" s="227"/>
      <x:c r="K72" s="227"/>
      <x:c r="L72" s="227"/>
      <x:c r="M72" s="227"/>
      <x:c r="N72" s="227"/>
      <x:c r="O72" s="227"/>
      <x:c r="P72" s="227"/>
      <x:c r="Q72" s="227"/>
      <x:c r="R72" s="227"/>
      <x:c r="S72" s="227"/>
      <x:c r="T72" s="227"/>
      <x:c r="U72" s="227"/>
      <x:c r="V72" s="227"/>
    </x:row>
    <x:row r="73" ht="29" customHeight="1">
      <x:c r="A73" s="235"/>
      <x:c r="B73" s="235"/>
      <x:c r="C73" s="235"/>
      <x:c r="D73" s="235"/>
      <x:c r="E73" s="235"/>
      <x:c r="F73" s="235"/>
      <x:c r="G73" s="235"/>
      <x:c r="H73" s="235"/>
      <x:c r="I73" s="222"/>
      <x:c r="J73" s="222"/>
      <x:c r="K73" s="222"/>
      <x:c r="L73" s="222"/>
      <x:c r="M73" s="222"/>
      <x:c r="N73" s="222"/>
      <x:c r="O73" s="222"/>
      <x:c r="P73" s="222"/>
      <x:c r="Q73" s="222"/>
      <x:c r="R73" s="222"/>
      <x:c r="S73" s="222"/>
      <x:c r="T73" s="222"/>
      <x:c r="U73" s="222"/>
      <x:c r="V73" s="222"/>
    </x:row>
    <x:row r="74" ht="29" customHeight="1">
      <x:c r="A74" s="235" t="str">
        <x:v>Planning basket equivalents are not literal inventories of identical cows, cloth grades or fish. Replace proxies with contract-specific lines during play.</x:v>
      </x:c>
      <x:c r="B74" s="235"/>
      <x:c r="C74" s="235"/>
      <x:c r="D74" s="235"/>
      <x:c r="E74" s="235"/>
      <x:c r="F74" s="235"/>
      <x:c r="G74" s="235"/>
      <x:c r="H74" s="235"/>
      <x:c r="I74" s="222"/>
      <x:c r="J74" s="222"/>
      <x:c r="K74" s="222"/>
      <x:c r="L74" s="222"/>
      <x:c r="M74" s="222"/>
      <x:c r="N74" s="222"/>
      <x:c r="O74" s="222"/>
      <x:c r="P74" s="222"/>
      <x:c r="Q74" s="222"/>
      <x:c r="R74" s="222"/>
      <x:c r="S74" s="222"/>
      <x:c r="T74" s="222"/>
      <x:c r="U74" s="222"/>
      <x:c r="V74" s="222"/>
    </x:row>
    <x:row r="75" ht="29" customHeight="1">
      <x:c r="A75" s="235"/>
      <x:c r="B75" s="235"/>
      <x:c r="C75" s="235"/>
      <x:c r="D75" s="235"/>
      <x:c r="E75" s="235"/>
      <x:c r="F75" s="235"/>
      <x:c r="G75" s="235"/>
      <x:c r="H75" s="235"/>
      <x:c r="I75" s="222"/>
      <x:c r="J75" s="222"/>
      <x:c r="K75" s="222"/>
      <x:c r="L75" s="222"/>
      <x:c r="M75" s="222"/>
      <x:c r="N75" s="222"/>
      <x:c r="O75" s="222"/>
      <x:c r="P75" s="222"/>
      <x:c r="Q75" s="222"/>
      <x:c r="R75" s="222"/>
      <x:c r="S75" s="222"/>
      <x:c r="T75" s="222"/>
      <x:c r="U75" s="222"/>
      <x:c r="V75" s="222"/>
    </x:row>
    <x:row r="76" ht="29" customHeight="1">
      <x:c r="A76" s="222"/>
      <x:c r="B76" s="222"/>
      <x:c r="C76" s="222"/>
      <x:c r="D76" s="222"/>
      <x:c r="E76" s="222"/>
      <x:c r="F76" s="222"/>
      <x:c r="G76" s="222"/>
      <x:c r="H76" s="222"/>
      <x:c r="I76" s="222"/>
      <x:c r="J76" s="222"/>
      <x:c r="K76" s="222"/>
      <x:c r="L76" s="222"/>
      <x:c r="M76" s="222"/>
      <x:c r="N76" s="222"/>
      <x:c r="O76" s="222"/>
      <x:c r="P76" s="222"/>
      <x:c r="Q76" s="222"/>
      <x:c r="R76" s="222"/>
      <x:c r="S76" s="222"/>
      <x:c r="T76" s="222"/>
      <x:c r="U76" s="222"/>
      <x:c r="V76" s="222"/>
    </x:row>
  </x:sheetData>
  <x:mergeCells>
    <x:mergeCell ref="A1:H2"/>
    <x:mergeCell ref="A70:H71"/>
    <x:mergeCell ref="A72:H73"/>
    <x:mergeCell ref="A74:H75"/>
  </x:mergeCells>
  <x:conditionalFormatting sqref="P5:P67">
    <x:cfRule type="cellIs" dxfId="2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19d6542cf6f64051"/>
</x:worksheet>
</file>